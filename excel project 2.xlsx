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havsar krunal\OneDrive\Documents\excel\"/>
    </mc:Choice>
  </mc:AlternateContent>
  <xr:revisionPtr revIDLastSave="0" documentId="13_ncr:1_{89CC75E8-F3D4-4BB3-BFB8-09E278727C69}" xr6:coauthVersionLast="47" xr6:coauthVersionMax="47" xr10:uidLastSave="{00000000-0000-0000-0000-000000000000}"/>
  <bookViews>
    <workbookView xWindow="-108" yWindow="-108" windowWidth="23256" windowHeight="12456" activeTab="3" xr2:uid="{D620CAB5-BD8A-421A-BEC7-CA59678C165B}"/>
  </bookViews>
  <sheets>
    <sheet name="Sheet2" sheetId="6" r:id="rId1"/>
    <sheet name="Analysis" sheetId="2" r:id="rId2"/>
    <sheet name="Pivot" sheetId="3" r:id="rId3"/>
    <sheet name="Sales_Data" sheetId="1" r:id="rId4"/>
    <sheet name="Dashboard" sheetId="4" r:id="rId5"/>
    <sheet name="Data Storytelling" sheetId="8" r:id="rId6"/>
  </sheet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N6" i="1"/>
  <c r="N5" i="1"/>
  <c r="N4" i="1"/>
  <c r="N3" i="1"/>
  <c r="N2" i="1"/>
  <c r="AF6" i="2" a="1"/>
  <c r="AF6" i="2" s="1"/>
  <c r="AG3" i="2"/>
  <c r="AF3" i="2"/>
  <c r="AD3" i="2"/>
  <c r="AC3" i="2" a="1"/>
  <c r="AC3" i="2" s="1"/>
  <c r="AD4" i="2" s="1"/>
  <c r="J2" i="1"/>
  <c r="Y3" i="2"/>
  <c r="Z3" i="2" s="1"/>
  <c r="AA3" i="2" s="1"/>
  <c r="W6" i="2"/>
  <c r="W196" i="2"/>
  <c r="W197" i="2"/>
  <c r="W198" i="2"/>
  <c r="W199" i="2"/>
  <c r="W200" i="2"/>
  <c r="W201" i="2"/>
  <c r="W202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44" i="2"/>
  <c r="W145" i="2"/>
  <c r="W146" i="2"/>
  <c r="W147" i="2"/>
  <c r="W148" i="2"/>
  <c r="W149" i="2"/>
  <c r="W150" i="2"/>
  <c r="W151" i="2"/>
  <c r="W152" i="2"/>
  <c r="W153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24" i="2"/>
  <c r="W25" i="2"/>
  <c r="W26" i="2"/>
  <c r="W27" i="2"/>
  <c r="W28" i="2"/>
  <c r="W29" i="2"/>
  <c r="W30" i="2"/>
  <c r="W31" i="2"/>
  <c r="W32" i="2"/>
  <c r="W33" i="2"/>
  <c r="W34" i="2"/>
  <c r="W35" i="2"/>
  <c r="W14" i="2"/>
  <c r="W15" i="2"/>
  <c r="W16" i="2"/>
  <c r="W17" i="2"/>
  <c r="W18" i="2"/>
  <c r="W19" i="2"/>
  <c r="W20" i="2"/>
  <c r="W21" i="2"/>
  <c r="W22" i="2"/>
  <c r="W23" i="2"/>
  <c r="W4" i="2"/>
  <c r="W5" i="2"/>
  <c r="W7" i="2"/>
  <c r="W8" i="2"/>
  <c r="W9" i="2"/>
  <c r="W10" i="2"/>
  <c r="W11" i="2"/>
  <c r="W12" i="2"/>
  <c r="W13" i="2"/>
  <c r="W3" i="2"/>
  <c r="AD19" i="2" l="1"/>
  <c r="AD16" i="2"/>
  <c r="AD18" i="2"/>
  <c r="AD15" i="2"/>
  <c r="AD29" i="2"/>
  <c r="AD17" i="2"/>
  <c r="AD13" i="2"/>
  <c r="AD27" i="2"/>
  <c r="AD28" i="2"/>
  <c r="AD12" i="2"/>
  <c r="AD26" i="2"/>
  <c r="AD5" i="2"/>
  <c r="AD21" i="2"/>
  <c r="AD20" i="2"/>
  <c r="AD14" i="2"/>
  <c r="AD11" i="2"/>
  <c r="AD25" i="2"/>
  <c r="AD10" i="2"/>
  <c r="AD24" i="2"/>
  <c r="AD9" i="2"/>
  <c r="AD23" i="2"/>
  <c r="AD7" i="2"/>
  <c r="AD6" i="2"/>
  <c r="AD8" i="2"/>
  <c r="AD22" i="2"/>
  <c r="Y4" i="2"/>
  <c r="Z4" i="2" l="1"/>
  <c r="AA4" i="2" s="1"/>
  <c r="Y5" i="2"/>
  <c r="Y6" i="2" l="1"/>
  <c r="Z5" i="2"/>
  <c r="AA5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Y7" i="2" l="1"/>
  <c r="Z6" i="2"/>
  <c r="AA6" i="2" s="1"/>
  <c r="Z7" i="2" l="1"/>
  <c r="AA7" i="2" s="1"/>
  <c r="Y8" i="2"/>
  <c r="Y9" i="2" l="1"/>
  <c r="Z8" i="2"/>
  <c r="AA8" i="2" s="1"/>
  <c r="Y10" i="2" l="1"/>
  <c r="Z9" i="2"/>
  <c r="AA9" i="2" s="1"/>
  <c r="Y11" i="2" l="1"/>
  <c r="Z10" i="2"/>
  <c r="AA10" i="2" s="1"/>
  <c r="Z11" i="2" l="1"/>
  <c r="AA11" i="2" s="1"/>
  <c r="Y12" i="2"/>
  <c r="Z12" i="2" l="1"/>
  <c r="AA12" i="2" s="1"/>
  <c r="Y13" i="2"/>
  <c r="Z13" i="2" l="1"/>
  <c r="AA13" i="2" s="1"/>
  <c r="Y14" i="2"/>
  <c r="Z14" i="2" l="1"/>
  <c r="AA14" i="2" s="1"/>
  <c r="Y15" i="2"/>
  <c r="Z15" i="2" s="1"/>
  <c r="AA1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<sst xmlns="http://schemas.openxmlformats.org/spreadsheetml/2006/main" count="1146" uniqueCount="171">
  <si>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</si>
  <si>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</si>
  <si>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</si>
  <si>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</si>
  <si>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</si>
  <si>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</si>
  <si>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</si>
  <si>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</si>
  <si>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</si>
  <si>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</si>
  <si>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</si>
  <si>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</si>
  <si>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</si>
  <si>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</si>
  <si>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</si>
  <si>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</si>
  <si>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</si>
  <si>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</si>
  <si>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</si>
  <si>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</si>
  <si>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</si>
  <si>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</si>
  <si>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</si>
  <si>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</si>
  <si>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</si>
  <si>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</si>
  <si>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</si>
  <si>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</si>
  <si>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</si>
  <si>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</si>
  <si>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</si>
  <si>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</si>
  <si>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</si>
  <si>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</si>
  <si>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</si>
  <si>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</si>
  <si>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</si>
  <si>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</si>
  <si>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</si>
  <si>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</si>
  <si>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</si>
  <si>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</si>
  <si>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</si>
  <si>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</si>
  <si>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</si>
  <si>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</si>
  <si>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</si>
  <si>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</si>
  <si>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</si>
  <si>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</si>
  <si>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</si>
  <si>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</si>
  <si>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</si>
  <si>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</si>
  <si>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</si>
  <si>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</si>
  <si>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</si>
  <si>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</si>
  <si>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</si>
  <si>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</si>
  <si>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</si>
  <si>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</si>
  <si>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</si>
  <si>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</si>
  <si>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</si>
  <si>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</si>
  <si>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</si>
  <si>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</si>
  <si>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</si>
  <si>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</si>
  <si>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</si>
  <si>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</si>
  <si>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</si>
  <si>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</si>
  <si>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</si>
  <si>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</si>
  <si>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 Purchase</t>
  </si>
  <si>
    <t>Conditional Formatting  for Top 10 Item in customer_id</t>
  </si>
  <si>
    <t>Scenario</t>
  </si>
  <si>
    <t>Original Discount</t>
  </si>
  <si>
    <t>New Discount</t>
  </si>
  <si>
    <t>Original Profit</t>
  </si>
  <si>
    <t>Estimated New Profit</t>
  </si>
  <si>
    <t>WHAT IF Analysis</t>
  </si>
  <si>
    <t>Value</t>
  </si>
  <si>
    <t>Linear 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</si>
  <si>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</si>
  <si>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</si>
  <si>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</si>
  <si>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</si>
  <si>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</si>
  <si>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</si>
  <si>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</si>
  <si>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</si>
  <si>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</si>
  <si>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</si>
  <si>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</si>
  <si>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</si>
  <si>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</si>
  <si>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</si>
  <si>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</si>
  <si>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</si>
  <si>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</si>
  <si>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</si>
  <si>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</si>
  <si>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</si>
  <si>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</si>
  <si>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</si>
  <si>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</si>
  <si>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</si>
  <si>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Linear Regression Output for Profit vs Sales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</si>
  <si>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</si>
  <si>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</si>
  <si>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</si>
  <si>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</si>
  <si>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</si>
  <si>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</si>
  <si>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</si>
  <si>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</si>
  <si>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</si>
  <si>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</si>
  <si>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</si>
  <si>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</si>
  <si>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</si>
  <si>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Histogram — Sales Distribution</t>
  </si>
  <si>
    <t>Bin</t>
  </si>
  <si>
    <t>More</t>
  </si>
  <si>
    <t>Frequency</t>
  </si>
  <si>
    <t>Data Storytelling — Sales vs Profit Chart</t>
  </si>
  <si>
    <t>Month</t>
  </si>
  <si>
    <t>Total Sales</t>
  </si>
  <si>
    <t>Sales Growth</t>
  </si>
  <si>
    <t>Up/Down Arrows IN Monthly Sales Growth</t>
  </si>
  <si>
    <t>Timestamp</t>
  </si>
  <si>
    <t>Customer Name</t>
  </si>
  <si>
    <t>Find High-Value Customers using INDEX, MATCH and FILTER</t>
  </si>
  <si>
    <t>INDEX</t>
  </si>
  <si>
    <t>LARGE</t>
  </si>
  <si>
    <t>FILTER</t>
  </si>
  <si>
    <t>Row Labels</t>
  </si>
  <si>
    <t>Grand Total</t>
  </si>
  <si>
    <t>Sum of Sales</t>
  </si>
  <si>
    <t>SALES ANALYSIS DASHBOARD</t>
  </si>
  <si>
    <t>next</t>
  </si>
  <si>
    <t>Sales data story</t>
  </si>
  <si>
    <t>Analysis</t>
  </si>
  <si>
    <t>Result</t>
  </si>
  <si>
    <t>Highest Sales Region</t>
  </si>
  <si>
    <t>Highest Region Sales</t>
  </si>
  <si>
    <t>Lowest Sales Region</t>
  </si>
  <si>
    <t>Lowest Region Sales</t>
  </si>
  <si>
    <t>Sales Analysis Insights</t>
  </si>
  <si>
    <r>
      <t>1. Total Sales:</t>
    </r>
    <r>
      <rPr>
        <sz val="11"/>
        <color theme="1"/>
        <rFont val="Aptos Narrow"/>
        <family val="2"/>
        <scheme val="minor"/>
      </rPr>
      <t xml:space="preserve"> The total sales across all regions are 195,217.76.</t>
    </r>
  </si>
  <si>
    <r>
      <t>2. Best Performing Region:</t>
    </r>
    <r>
      <rPr>
        <sz val="11"/>
        <color theme="1"/>
        <rFont val="Aptos Narrow"/>
        <family val="2"/>
        <scheme val="minor"/>
      </rPr>
      <t xml:space="preserve"> West has the highest sales, with 44,083.58.</t>
    </r>
  </si>
  <si>
    <r>
      <t>3. Lowest Performing Region:</t>
    </r>
    <r>
      <rPr>
        <sz val="11"/>
        <color theme="1"/>
        <rFont val="Aptos Narrow"/>
        <family val="2"/>
        <scheme val="minor"/>
      </rPr>
      <t xml:space="preserve"> East has the lowest sales, with 32,441.64.</t>
    </r>
  </si>
  <si>
    <r>
      <t>4. Business Insight:</t>
    </r>
    <r>
      <rPr>
        <sz val="11"/>
        <color theme="1"/>
        <rFont val="Aptos Narrow"/>
        <family val="2"/>
        <scheme val="minor"/>
      </rPr>
      <t xml:space="preserve"> The West and Central regions contribute strongly to overall sales. The East region may need further analysis to identify opportunities for improvement.</t>
    </r>
  </si>
  <si>
    <r>
      <t>5. Conclusion:</t>
    </r>
    <r>
      <rPr>
        <sz val="11"/>
        <color theme="1"/>
        <rFont val="Aptos Narrow"/>
        <family val="2"/>
        <scheme val="minor"/>
      </rPr>
      <t xml:space="preserve"> Comparing regional sales helps identify strong-performing regions and areas that may benefit from additional attention.</t>
    </r>
  </si>
  <si>
    <r>
      <t xml:space="preserve">6. Regional Sales Comparison: </t>
    </r>
    <r>
      <rPr>
        <sz val="11"/>
        <color theme="1"/>
        <rFont val="Aptos Narrow"/>
        <family val="2"/>
        <scheme val="minor"/>
      </rPr>
      <t>The West region achieved the highest sales of 44,083.58, while the East region recorded the lowest sales of 32,441.64.</t>
    </r>
  </si>
  <si>
    <r>
      <t xml:space="preserve">8. Performance Difference: </t>
    </r>
    <r>
      <rPr>
        <sz val="11"/>
        <color theme="1"/>
        <rFont val="Aptos Narrow"/>
        <family val="2"/>
        <scheme val="minor"/>
      </rPr>
      <t>The difference between the highest-selling region (West) and the lowest-selling region (East) is 11,641.94.</t>
    </r>
  </si>
  <si>
    <r>
      <t xml:space="preserve">9. Business Recommendation: </t>
    </r>
    <r>
      <rPr>
        <sz val="11"/>
        <color theme="1"/>
        <rFont val="Aptos Narrow"/>
        <family val="2"/>
        <scheme val="minor"/>
      </rPr>
      <t>The business should study the sales strategies used in the West and Central regions and explore ways to improve sales performance in the East region.</t>
    </r>
  </si>
  <si>
    <r>
      <t xml:space="preserve">10. Final Conclusion: </t>
    </r>
    <r>
      <rPr>
        <sz val="11"/>
        <color theme="1"/>
        <rFont val="Aptos Narrow"/>
        <family val="2"/>
        <scheme val="minor"/>
      </rPr>
      <t>Regional sales analysis helps businesses understand performance differences, identify opportunities, and make better decisions using data.</t>
    </r>
  </si>
  <si>
    <t>Cell	લખવાનું
H1	Discount
I1	Profit
H2	0%
H3	5%
H4	10%
H5	15%
H6	20%</t>
  </si>
  <si>
    <t>Adjusted Sales</t>
  </si>
  <si>
    <t>2024</t>
  </si>
  <si>
    <t>2025</t>
  </si>
  <si>
    <t>Qtr2</t>
  </si>
  <si>
    <t>Qtr3</t>
  </si>
  <si>
    <t>Qtr4</t>
  </si>
  <si>
    <t>Qtr1</t>
  </si>
  <si>
    <t>Pie Chart</t>
  </si>
  <si>
    <t>have last step kayo 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</si>
</sst>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\↑\ 0.00%;[Red]\↓\ 0.00%;0.00%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EDEDED"/>
      <name val="Segoe UI"/>
      <family val="2"/>
    </font>
    <font>
      <sz val="10"/>
      <color rgb="FFF6FAFE"/>
      <name val="Segoe UI"/>
      <family val="2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" fillId="0" borderId="0" xfId="0" applyFont="1"/>
    <xf numFmtId="1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6" fillId="0" borderId="11" xfId="0" applyFont="1" applyFill="1" applyBorder="1" applyAlignment="1">
      <alignment horizontal="centerContinuous"/>
    </xf>
    <xf numFmtId="0" fontId="0" fillId="0" borderId="9" xfId="0" applyFill="1" applyBorder="1" applyAlignment="1"/>
    <xf numFmtId="0" fontId="0" fillId="0" borderId="12" xfId="0" applyFill="1" applyBorder="1" applyAlignment="1"/>
    <xf numFmtId="0" fontId="6" fillId="0" borderId="1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Fill="1" applyBorder="1" applyAlignment="1"/>
    <xf numFmtId="0" fontId="0" fillId="0" borderId="19" xfId="0" applyFill="1" applyBorder="1" applyAlignment="1"/>
    <xf numFmtId="0" fontId="0" fillId="0" borderId="13" xfId="0" applyFill="1" applyBorder="1" applyAlignment="1"/>
    <xf numFmtId="0" fontId="0" fillId="0" borderId="14" xfId="0" applyFill="1" applyBorder="1" applyAlignment="1"/>
    <xf numFmtId="0" fontId="1" fillId="3" borderId="9" xfId="0" applyFont="1" applyFill="1" applyBorder="1"/>
    <xf numFmtId="0" fontId="1" fillId="3" borderId="10" xfId="0" applyFont="1" applyFill="1" applyBorder="1"/>
    <xf numFmtId="2" fontId="0" fillId="0" borderId="10" xfId="0" applyNumberFormat="1" applyBorder="1"/>
    <xf numFmtId="9" fontId="0" fillId="0" borderId="10" xfId="0" applyNumberFormat="1" applyBorder="1"/>
    <xf numFmtId="2" fontId="0" fillId="0" borderId="15" xfId="0" applyNumberFormat="1" applyBorder="1"/>
    <xf numFmtId="0" fontId="2" fillId="3" borderId="22" xfId="0" applyFont="1" applyFill="1" applyBorder="1" applyAlignment="1">
      <alignment horizontal="center" wrapText="1"/>
    </xf>
    <xf numFmtId="0" fontId="2" fillId="3" borderId="23" xfId="0" applyFont="1" applyFill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1" fillId="3" borderId="5" xfId="0" applyFont="1" applyFill="1" applyBorder="1"/>
    <xf numFmtId="0" fontId="1" fillId="3" borderId="21" xfId="0" applyFont="1" applyFill="1" applyBorder="1"/>
    <xf numFmtId="0" fontId="0" fillId="0" borderId="5" xfId="0" applyBorder="1"/>
    <xf numFmtId="14" fontId="0" fillId="0" borderId="6" xfId="0" applyNumberFormat="1" applyBorder="1"/>
    <xf numFmtId="164" fontId="0" fillId="0" borderId="8" xfId="0" applyNumberFormat="1" applyBorder="1"/>
    <xf numFmtId="14" fontId="0" fillId="0" borderId="9" xfId="0" applyNumberFormat="1" applyBorder="1"/>
    <xf numFmtId="164" fontId="0" fillId="0" borderId="10" xfId="0" applyNumberFormat="1" applyBorder="1"/>
    <xf numFmtId="14" fontId="0" fillId="0" borderId="13" xfId="0" applyNumberFormat="1" applyBorder="1"/>
    <xf numFmtId="164" fontId="0" fillId="0" borderId="15" xfId="0" applyNumberFormat="1" applyBorder="1"/>
    <xf numFmtId="22" fontId="0" fillId="0" borderId="0" xfId="0" applyNumberFormat="1"/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0" borderId="26" xfId="0" applyBorder="1"/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0" fillId="0" borderId="29" xfId="0" applyBorder="1"/>
    <xf numFmtId="9" fontId="0" fillId="0" borderId="0" xfId="0" applyNumberFormat="1"/>
    <xf numFmtId="0" fontId="2" fillId="0" borderId="0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Continuous"/>
    </xf>
    <xf numFmtId="0" fontId="6" fillId="3" borderId="18" xfId="0" applyFont="1" applyFill="1" applyBorder="1" applyAlignment="1">
      <alignment horizontal="centerContinuous"/>
    </xf>
    <xf numFmtId="0" fontId="6" fillId="3" borderId="1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3" borderId="10" xfId="0" applyFill="1" applyBorder="1"/>
    <xf numFmtId="0" fontId="0" fillId="0" borderId="0" xfId="0" applyAlignment="1">
      <alignment horizontal="left" indent="1"/>
    </xf>
    <xf numFmtId="0" fontId="8" fillId="2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2.xlsx]Pivot!PivotTable3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Pivot!$B$2:$B$7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2-4A23-8B88-31EF23F2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0408160"/>
        <c:axId val="1109074992"/>
      </c:barChart>
      <c:catAx>
        <c:axId val="111040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74992"/>
        <c:crosses val="autoZero"/>
        <c:auto val="1"/>
        <c:lblAlgn val="ctr"/>
        <c:lblOffset val="100"/>
        <c:noMultiLvlLbl val="0"/>
      </c:catAx>
      <c:valAx>
        <c:axId val="110907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2.xlsx]Pivot!PivotTable3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Regional</a:t>
            </a:r>
            <a:r>
              <a:rPr lang="en-IN" b="1" baseline="0"/>
              <a:t> Sales Contribution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Pivot!$B$2:$B$7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1-496C-A5F6-31307817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</a:t>
            </a:r>
          </a:p>
        </c:rich>
      </c:tx>
      <c:layout>
        <c:manualLayout>
          <c:xMode val="edge"/>
          <c:yMode val="edge"/>
          <c:x val="0.33443044619422574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2024 Qtr2</c:v>
              </c:pt>
              <c:pt idx="1">
                <c:v>2024 Qtr3</c:v>
              </c:pt>
              <c:pt idx="2">
                <c:v>2024 Qtr4</c:v>
              </c:pt>
              <c:pt idx="3">
                <c:v>2025 Qtr1</c:v>
              </c:pt>
              <c:pt idx="4">
                <c:v>2025 Qtr2</c:v>
              </c:pt>
            </c:strLit>
          </c:cat>
          <c:val>
            <c:numLit>
              <c:formatCode>General</c:formatCode>
              <c:ptCount val="5"/>
              <c:pt idx="0">
                <c:v>57724.80999999999</c:v>
              </c:pt>
              <c:pt idx="1">
                <c:v>42234.240000000013</c:v>
              </c:pt>
              <c:pt idx="2">
                <c:v>45470.310000000019</c:v>
              </c:pt>
              <c:pt idx="3">
                <c:v>46576.229999999996</c:v>
              </c:pt>
              <c:pt idx="4">
                <c:v>3212.17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681-41B0-A95B-810A3986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200576"/>
        <c:axId val="1657202976"/>
      </c:lineChart>
      <c:catAx>
        <c:axId val="16572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02976"/>
        <c:crosses val="autoZero"/>
        <c:auto val="1"/>
        <c:lblAlgn val="ctr"/>
        <c:lblOffset val="100"/>
        <c:noMultiLvlLbl val="0"/>
      </c:catAx>
      <c:valAx>
        <c:axId val="165720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  <c:marker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298671428957979"/>
          <c:y val="0.20600877192982456"/>
          <c:w val="0.69174960088751791"/>
          <c:h val="0.71452514159414282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43468.33</c:v>
              </c:pt>
              <c:pt idx="1">
                <c:v>32441.64</c:v>
              </c:pt>
              <c:pt idx="2">
                <c:v>34975.42</c:v>
              </c:pt>
              <c:pt idx="3">
                <c:v>40248.79</c:v>
              </c:pt>
              <c:pt idx="4">
                <c:v>44083.58</c:v>
              </c:pt>
            </c:numLit>
          </c:val>
          <c:extLst>
            <c:ext xmlns:c16="http://schemas.microsoft.com/office/drawing/2014/chart" uri="{C3380CC4-5D6E-409C-BE32-E72D297353CC}">
              <c16:uniqueId val="{00000000-461F-4D33-B7E5-C5EF11BF1D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04540224"/>
        <c:axId val="1104537344"/>
        <c:axId val="0"/>
      </c:bar3DChart>
      <c:catAx>
        <c:axId val="110454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537344"/>
        <c:crosses val="autoZero"/>
        <c:auto val="1"/>
        <c:lblAlgn val="ctr"/>
        <c:lblOffset val="100"/>
        <c:noMultiLvlLbl val="0"/>
      </c:catAx>
      <c:valAx>
        <c:axId val="11045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5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2.xlsx]Pivot!PivotTable3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Regional</a:t>
            </a:r>
            <a:r>
              <a:rPr lang="en-IN" b="1" baseline="0"/>
              <a:t> Sales Contribution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8E-4CC4-B35A-41E8EEF198E9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8E-4CC4-B35A-41E8EEF198E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8E-4CC4-B35A-41E8EEF198E9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8E-4CC4-B35A-41E8EEF198E9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8E-4CC4-B35A-41E8EEF198E9}"/>
              </c:ext>
            </c:extLst>
          </c:dPt>
          <c:cat>
            <c:strRef>
              <c:f>Pivot!$A$2:$A$7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Pivot!$B$2:$B$7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8E-4CC4-B35A-41E8EEF1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</a:t>
            </a:r>
          </a:p>
        </c:rich>
      </c:tx>
      <c:layout>
        <c:manualLayout>
          <c:xMode val="edge"/>
          <c:yMode val="edge"/>
          <c:x val="0.33443044619422574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2024 Qtr2</c:v>
              </c:pt>
              <c:pt idx="1">
                <c:v>2024 Qtr3</c:v>
              </c:pt>
              <c:pt idx="2">
                <c:v>2024 Qtr4</c:v>
              </c:pt>
              <c:pt idx="3">
                <c:v>2025 Qtr1</c:v>
              </c:pt>
              <c:pt idx="4">
                <c:v>2025 Qtr2</c:v>
              </c:pt>
            </c:strLit>
          </c:cat>
          <c:val>
            <c:numLit>
              <c:formatCode>General</c:formatCode>
              <c:ptCount val="5"/>
              <c:pt idx="0">
                <c:v>57724.80999999999</c:v>
              </c:pt>
              <c:pt idx="1">
                <c:v>42234.240000000013</c:v>
              </c:pt>
              <c:pt idx="2">
                <c:v>45470.310000000019</c:v>
              </c:pt>
              <c:pt idx="3">
                <c:v>46576.229999999996</c:v>
              </c:pt>
              <c:pt idx="4">
                <c:v>3212.17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B5F-4A43-908F-76F44591F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200576"/>
        <c:axId val="1657202976"/>
      </c:lineChart>
      <c:catAx>
        <c:axId val="16572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02976"/>
        <c:crosses val="autoZero"/>
        <c:auto val="1"/>
        <c:lblAlgn val="ctr"/>
        <c:lblOffset val="100"/>
        <c:noMultiLvlLbl val="0"/>
      </c:catAx>
      <c:valAx>
        <c:axId val="165720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148590</xdr:rowOff>
    </xdr:from>
    <xdr:to>
      <xdr:col>5</xdr:col>
      <xdr:colOff>601980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DEBAEF-BD47-438C-4CD3-C071BFF60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2875</xdr:rowOff>
    </xdr:from>
    <xdr:to>
      <xdr:col>5</xdr:col>
      <xdr:colOff>575387</xdr:colOff>
      <xdr:row>41</xdr:row>
      <xdr:rowOff>15550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D22C3-04F9-A5F2-14D6-CCA8E7277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124409</xdr:colOff>
      <xdr:row>3</xdr:row>
      <xdr:rowOff>155510</xdr:rowOff>
    </xdr:from>
    <xdr:to>
      <xdr:col>17</xdr:col>
      <xdr:colOff>233104</xdr:colOff>
      <xdr:row>19</xdr:row>
      <xdr:rowOff>103414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A06F80-C12F-4F8F-B466-27A1808C1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38100</xdr:rowOff>
    </xdr:from>
    <xdr:to>
      <xdr:col>1</xdr:col>
      <xdr:colOff>678180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65CB1-C9CD-4038-910D-9CE24A9B9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2</xdr:row>
      <xdr:rowOff>68580</xdr:rowOff>
    </xdr:from>
    <xdr:to>
      <xdr:col>8</xdr:col>
      <xdr:colOff>106681</xdr:colOff>
      <xdr:row>18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D83D7B-9A95-48FA-9939-ECCFD0760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</xdr:colOff>
      <xdr:row>21</xdr:row>
      <xdr:rowOff>0</xdr:rowOff>
    </xdr:from>
    <xdr:to>
      <xdr:col>8</xdr:col>
      <xdr:colOff>160020</xdr:colOff>
      <xdr:row>35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C07D94-E040-4B34-84BD-0A91B905A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sar krunal" refreshedDate="46321.610626041664" createdVersion="8" refreshedVersion="8" minRefreshableVersion="3" recordCount="200" xr:uid="{33966E75-AA35-4933-AD43-7E0D17F18630}">
  <cacheSource type="worksheet">
    <worksheetSource ref="A1:J201" sheet="Sales_Data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/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2"/>
    </cacheField>
    <cacheField name="Profit" numFmtId="0">
      <sharedItems containsSemiMixedTypes="0" containsString="0" containsNumber="1" minValue="64.63" maxValue="769.46"/>
    </cacheField>
    <cacheField name="Timestamp" numFmtId="0">
      <sharedItems containsNonDate="0" containsDate="1" containsString="0" containsBlank="1" minDate="2026-10-26T14:36:08" maxDate="2026-10-26T14:36:08"/>
    </cacheField>
    <cacheField name="Months (Order_Date)" numFmtId="0" databaseField="0">
      <fieldGroup base="7">
        <rangePr groupBy="months" startDate="2024-04-10T00:00:00" endDate="2025-04-08T00:00:00"/>
        <groupItems count="14">
          <s v="&lt;4/1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8/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4/10/2024"/>
          <s v="Qtr1"/>
          <s v="Qtr2"/>
          <s v="Qtr3"/>
          <s v="Qtr4"/>
          <s v="&gt;4/8/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4/10/2024"/>
          <s v="2024"/>
          <s v="2025"/>
          <s v="&gt;4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s v="Books"/>
    <n v="1036.0899999999999"/>
    <n v="4"/>
    <n v="0.2"/>
    <x v="0"/>
    <n v="331.55"/>
    <d v="2026-10-26T14:36:08"/>
  </r>
  <r>
    <s v="CUST012"/>
    <s v="Robert Anderson"/>
    <x v="0"/>
    <s v="Clothing"/>
    <n v="1101.28"/>
    <n v="3"/>
    <n v="0.2"/>
    <x v="1"/>
    <n v="440.51"/>
    <m/>
  </r>
  <r>
    <s v="CUST017"/>
    <s v="James Taylor"/>
    <x v="1"/>
    <s v="Books"/>
    <n v="713.34"/>
    <n v="17"/>
    <n v="0"/>
    <x v="2"/>
    <n v="285.33999999999997"/>
    <m/>
  </r>
  <r>
    <s v="CUST005"/>
    <s v="Robert Anderson"/>
    <x v="2"/>
    <s v="Electronics"/>
    <n v="760.93"/>
    <n v="4"/>
    <n v="0.15"/>
    <x v="2"/>
    <n v="161.69999999999999"/>
    <m/>
  </r>
  <r>
    <s v="CUST030"/>
    <s v="James Wilson"/>
    <x v="3"/>
    <s v="Books"/>
    <n v="847"/>
    <n v="12"/>
    <n v="0.2"/>
    <x v="3"/>
    <n v="271.04000000000002"/>
    <m/>
  </r>
  <r>
    <s v="CUST007"/>
    <s v="Michael Anderson"/>
    <x v="3"/>
    <s v="Furniture"/>
    <n v="965.64"/>
    <n v="8"/>
    <n v="0.1"/>
    <x v="4"/>
    <n v="304.18"/>
    <m/>
  </r>
  <r>
    <s v="CUST001"/>
    <s v="Linda Wilson"/>
    <x v="0"/>
    <s v="Electronics"/>
    <n v="1317.53"/>
    <n v="12"/>
    <n v="0.05"/>
    <x v="4"/>
    <n v="312.91000000000003"/>
    <m/>
  </r>
  <r>
    <s v="CUST026"/>
    <s v="Mary Davis"/>
    <x v="1"/>
    <s v="Furniture"/>
    <n v="1074.47"/>
    <n v="6"/>
    <n v="0.2"/>
    <x v="5"/>
    <n v="300.85000000000002"/>
    <m/>
  </r>
  <r>
    <s v="CUST009"/>
    <s v="Linda Jackson"/>
    <x v="4"/>
    <s v="Books"/>
    <n v="501.54"/>
    <n v="11"/>
    <n v="0.05"/>
    <x v="5"/>
    <n v="190.59"/>
    <m/>
  </r>
  <r>
    <s v="CUST010"/>
    <s v="David Thomas"/>
    <x v="4"/>
    <s v="Clothing"/>
    <n v="737.31"/>
    <n v="2"/>
    <n v="0.05"/>
    <x v="5"/>
    <n v="350.22"/>
    <m/>
  </r>
  <r>
    <s v="CUST014"/>
    <s v="Emma Davis"/>
    <x v="0"/>
    <s v="Office Supplies"/>
    <n v="1572.82"/>
    <n v="6"/>
    <n v="0.05"/>
    <x v="6"/>
    <n v="672.38"/>
    <m/>
  </r>
  <r>
    <s v="CUST014"/>
    <s v="David Thomas"/>
    <x v="4"/>
    <s v="Books"/>
    <n v="1343.13"/>
    <n v="14"/>
    <n v="0.15"/>
    <x v="7"/>
    <n v="456.66"/>
    <m/>
  </r>
  <r>
    <s v="CUST007"/>
    <s v="Michael Anderson"/>
    <x v="4"/>
    <s v="Books"/>
    <n v="1191.58"/>
    <n v="14"/>
    <n v="0.05"/>
    <x v="8"/>
    <n v="452.8"/>
    <m/>
  </r>
  <r>
    <s v="CUST023"/>
    <s v="Robert Anderson"/>
    <x v="0"/>
    <s v="Furniture"/>
    <n v="822.28"/>
    <n v="7"/>
    <n v="0.05"/>
    <x v="8"/>
    <n v="273.41000000000003"/>
    <m/>
  </r>
  <r>
    <s v="CUST029"/>
    <s v="David Smith"/>
    <x v="3"/>
    <s v="Furniture"/>
    <n v="521.66999999999996"/>
    <n v="15"/>
    <n v="0.15"/>
    <x v="9"/>
    <n v="155.19999999999999"/>
    <m/>
  </r>
  <r>
    <s v="CUST005"/>
    <s v="Sarah Anderson"/>
    <x v="2"/>
    <s v="Electronics"/>
    <n v="1502.93"/>
    <n v="14"/>
    <n v="0.2"/>
    <x v="10"/>
    <n v="300.58999999999997"/>
    <m/>
  </r>
  <r>
    <s v="CUST008"/>
    <s v="Robert Anderson"/>
    <x v="2"/>
    <s v="Books"/>
    <n v="877.58"/>
    <n v="10"/>
    <n v="0.15"/>
    <x v="11"/>
    <n v="298.38"/>
    <m/>
  </r>
  <r>
    <s v="CUST001"/>
    <s v="Lisa Thomas"/>
    <x v="0"/>
    <s v="Books"/>
    <n v="636.70000000000005"/>
    <n v="4"/>
    <n v="0.2"/>
    <x v="11"/>
    <n v="203.74"/>
    <m/>
  </r>
  <r>
    <s v="CUST006"/>
    <s v="Mary Jackson"/>
    <x v="0"/>
    <s v="Books"/>
    <n v="1506.14"/>
    <n v="13"/>
    <n v="0.2"/>
    <x v="12"/>
    <n v="481.96"/>
    <m/>
  </r>
  <r>
    <s v="CUST026"/>
    <s v="Mary Davis"/>
    <x v="4"/>
    <s v="Electronics"/>
    <n v="645.02"/>
    <n v="4"/>
    <n v="0"/>
    <x v="13"/>
    <n v="161.26"/>
    <m/>
  </r>
  <r>
    <s v="CUST007"/>
    <s v="Lisa Davis"/>
    <x v="2"/>
    <s v="Clothing"/>
    <n v="953.3"/>
    <n v="11"/>
    <n v="0"/>
    <x v="14"/>
    <n v="476.65"/>
    <m/>
  </r>
  <r>
    <s v="CUST022"/>
    <s v="Robert Anderson"/>
    <x v="3"/>
    <s v="Electronics"/>
    <n v="388.56"/>
    <n v="14"/>
    <n v="0.15"/>
    <x v="15"/>
    <n v="82.57"/>
    <m/>
  </r>
  <r>
    <s v="CUST019"/>
    <s v="Mary Davis"/>
    <x v="0"/>
    <s v="Books"/>
    <n v="743.17"/>
    <n v="9"/>
    <n v="0"/>
    <x v="15"/>
    <n v="297.27"/>
    <m/>
  </r>
  <r>
    <s v="CUST023"/>
    <s v="Mary Davis"/>
    <x v="4"/>
    <s v="Electronics"/>
    <n v="706.37"/>
    <n v="6"/>
    <n v="0"/>
    <x v="15"/>
    <n v="176.59"/>
    <m/>
  </r>
  <r>
    <s v="CUST012"/>
    <s v="Mary Davis"/>
    <x v="4"/>
    <s v="Office Supplies"/>
    <n v="925.31"/>
    <n v="8"/>
    <n v="0.1"/>
    <x v="16"/>
    <n v="374.75"/>
    <m/>
  </r>
  <r>
    <s v="CUST010"/>
    <s v="Linda Brown"/>
    <x v="2"/>
    <s v="Electronics"/>
    <n v="1173.1199999999999"/>
    <n v="18"/>
    <n v="0"/>
    <x v="16"/>
    <n v="293.27999999999997"/>
    <m/>
  </r>
  <r>
    <s v="CUST030"/>
    <s v="John Brown"/>
    <x v="3"/>
    <s v="Furniture"/>
    <n v="675.54"/>
    <n v="17"/>
    <n v="0"/>
    <x v="17"/>
    <n v="236.44"/>
    <m/>
  </r>
  <r>
    <s v="CUST007"/>
    <s v="Robert Anderson"/>
    <x v="4"/>
    <s v="Books"/>
    <n v="939.09"/>
    <n v="2"/>
    <n v="0.05"/>
    <x v="18"/>
    <n v="356.85"/>
    <m/>
  </r>
  <r>
    <s v="CUST028"/>
    <s v="Linda Taylor"/>
    <x v="1"/>
    <s v="Office Supplies"/>
    <n v="983.34"/>
    <n v="19"/>
    <n v="0.1"/>
    <x v="19"/>
    <n v="398.25"/>
    <m/>
  </r>
  <r>
    <s v="CUST028"/>
    <s v="James Wilson"/>
    <x v="2"/>
    <s v="Electronics"/>
    <n v="801.21"/>
    <n v="3"/>
    <n v="0.2"/>
    <x v="19"/>
    <n v="160.24"/>
    <m/>
  </r>
  <r>
    <s v="CUST025"/>
    <s v="David Brown"/>
    <x v="3"/>
    <s v="Electronics"/>
    <n v="1450.71"/>
    <n v="5"/>
    <n v="0.1"/>
    <x v="20"/>
    <n v="326.41000000000003"/>
    <m/>
  </r>
  <r>
    <s v="CUST022"/>
    <s v="David Davis"/>
    <x v="4"/>
    <s v="Books"/>
    <n v="1023.21"/>
    <n v="18"/>
    <n v="0.05"/>
    <x v="21"/>
    <n v="388.82"/>
    <m/>
  </r>
  <r>
    <s v="CUST001"/>
    <s v="Mary Jackson"/>
    <x v="0"/>
    <s v="Furniture"/>
    <n v="853.72"/>
    <n v="5"/>
    <n v="0.15"/>
    <x v="21"/>
    <n v="253.98"/>
    <m/>
  </r>
  <r>
    <s v="CUST021"/>
    <s v="Sarah Anderson"/>
    <x v="2"/>
    <s v="Electronics"/>
    <n v="967.89"/>
    <n v="10"/>
    <n v="0.1"/>
    <x v="22"/>
    <n v="217.78"/>
    <m/>
  </r>
  <r>
    <s v="CUST015"/>
    <s v="Linda Taylor"/>
    <x v="3"/>
    <s v="Office Supplies"/>
    <n v="1200.9000000000001"/>
    <n v="14"/>
    <n v="0.05"/>
    <x v="22"/>
    <n v="513.38"/>
    <m/>
  </r>
  <r>
    <s v="CUST012"/>
    <s v="Michael Anderson"/>
    <x v="0"/>
    <s v="Books"/>
    <n v="472.38"/>
    <n v="12"/>
    <n v="0.2"/>
    <x v="22"/>
    <n v="151.16"/>
    <m/>
  </r>
  <r>
    <s v="CUST019"/>
    <s v="David Brown"/>
    <x v="1"/>
    <s v="Office Supplies"/>
    <n v="840.92"/>
    <n v="9"/>
    <n v="0.05"/>
    <x v="22"/>
    <n v="359.49"/>
    <m/>
  </r>
  <r>
    <s v="CUST028"/>
    <s v="Lisa Davis"/>
    <x v="4"/>
    <s v="Furniture"/>
    <n v="1410.06"/>
    <n v="11"/>
    <n v="0.05"/>
    <x v="23"/>
    <n v="468.84"/>
    <m/>
  </r>
  <r>
    <s v="CUST008"/>
    <s v="Mary Wilson"/>
    <x v="4"/>
    <s v="Furniture"/>
    <n v="773.09"/>
    <n v="13"/>
    <n v="0.15"/>
    <x v="23"/>
    <n v="229.99"/>
    <m/>
  </r>
  <r>
    <s v="CUST016"/>
    <s v="Emma Wilson"/>
    <x v="1"/>
    <s v="Books"/>
    <n v="580.42999999999995"/>
    <n v="19"/>
    <n v="0.15"/>
    <x v="24"/>
    <n v="197.35"/>
    <m/>
  </r>
  <r>
    <s v="CUST005"/>
    <s v="David Smith"/>
    <x v="2"/>
    <s v="Books"/>
    <n v="1151.21"/>
    <n v="15"/>
    <n v="0.1"/>
    <x v="25"/>
    <n v="414.44"/>
    <m/>
  </r>
  <r>
    <s v="CUST028"/>
    <s v="James Wilson"/>
    <x v="4"/>
    <s v="Office Supplies"/>
    <n v="1025.98"/>
    <n v="5"/>
    <n v="0.2"/>
    <x v="26"/>
    <n v="369.35"/>
    <m/>
  </r>
  <r>
    <s v="CUST023"/>
    <s v="David Davis"/>
    <x v="1"/>
    <s v="Office Supplies"/>
    <n v="556.41999999999996"/>
    <n v="11"/>
    <n v="0.15"/>
    <x v="26"/>
    <n v="212.83"/>
    <m/>
  </r>
  <r>
    <s v="CUST021"/>
    <s v="James Wilson"/>
    <x v="4"/>
    <s v="Books"/>
    <n v="840.85"/>
    <n v="19"/>
    <n v="0.1"/>
    <x v="27"/>
    <n v="302.70999999999998"/>
    <m/>
  </r>
  <r>
    <s v="CUST026"/>
    <s v="Emma Wilson"/>
    <x v="3"/>
    <s v="Furniture"/>
    <n v="1227.25"/>
    <n v="12"/>
    <n v="0.15"/>
    <x v="27"/>
    <n v="365.11"/>
    <m/>
  </r>
  <r>
    <s v="CUST017"/>
    <s v="Linda Davis"/>
    <x v="4"/>
    <s v="Electronics"/>
    <n v="856.7"/>
    <n v="2"/>
    <n v="0"/>
    <x v="28"/>
    <n v="214.18"/>
    <m/>
  </r>
  <r>
    <s v="CUST025"/>
    <s v="David Davis"/>
    <x v="4"/>
    <s v="Office Supplies"/>
    <n v="1225.42"/>
    <n v="8"/>
    <n v="0.15"/>
    <x v="28"/>
    <n v="468.72"/>
    <m/>
  </r>
  <r>
    <s v="CUST011"/>
    <s v="Mary Davis"/>
    <x v="3"/>
    <s v="Office Supplies"/>
    <n v="1001.57"/>
    <n v="12"/>
    <n v="0"/>
    <x v="29"/>
    <n v="450.71"/>
    <m/>
  </r>
  <r>
    <s v="CUST021"/>
    <s v="Michael Anderson"/>
    <x v="1"/>
    <s v="Furniture"/>
    <n v="1186.8499999999999"/>
    <n v="19"/>
    <n v="0.2"/>
    <x v="30"/>
    <n v="332.32"/>
    <m/>
  </r>
  <r>
    <s v="CUST008"/>
    <s v="John Brown"/>
    <x v="2"/>
    <s v="Electronics"/>
    <n v="775.45"/>
    <n v="6"/>
    <n v="0.1"/>
    <x v="31"/>
    <n v="174.48"/>
    <m/>
  </r>
  <r>
    <s v="CUST007"/>
    <s v="Linda Jackson"/>
    <x v="2"/>
    <s v="Electronics"/>
    <n v="1021.47"/>
    <n v="6"/>
    <n v="0.05"/>
    <x v="32"/>
    <n v="242.6"/>
    <m/>
  </r>
  <r>
    <s v="CUST015"/>
    <s v="James Wilson"/>
    <x v="2"/>
    <s v="Clothing"/>
    <n v="1226.6199999999999"/>
    <n v="7"/>
    <n v="0.1"/>
    <x v="33"/>
    <n v="551.98"/>
    <m/>
  </r>
  <r>
    <s v="CUST030"/>
    <s v="Sarah Davis"/>
    <x v="2"/>
    <s v="Furniture"/>
    <n v="1086.93"/>
    <n v="2"/>
    <n v="0"/>
    <x v="34"/>
    <n v="380.43"/>
    <m/>
  </r>
  <r>
    <s v="CUST002"/>
    <s v="Lisa Davis"/>
    <x v="0"/>
    <s v="Books"/>
    <n v="942.9"/>
    <n v="18"/>
    <n v="0.1"/>
    <x v="35"/>
    <n v="339.44"/>
    <m/>
  </r>
  <r>
    <s v="CUST009"/>
    <s v="Emma Davis"/>
    <x v="3"/>
    <s v="Electronics"/>
    <n v="818.8"/>
    <n v="15"/>
    <n v="0.15"/>
    <x v="36"/>
    <n v="173.99"/>
    <m/>
  </r>
  <r>
    <s v="CUST005"/>
    <s v="Robert Anderson"/>
    <x v="2"/>
    <s v="Furniture"/>
    <n v="919.04"/>
    <n v="10"/>
    <n v="0.2"/>
    <x v="36"/>
    <n v="257.33"/>
    <m/>
  </r>
  <r>
    <s v="CUST030"/>
    <s v="Emma Taylor"/>
    <x v="4"/>
    <s v="Books"/>
    <n v="973.26"/>
    <n v="11"/>
    <n v="0"/>
    <x v="37"/>
    <n v="389.3"/>
    <m/>
  </r>
  <r>
    <s v="CUST029"/>
    <s v="Sarah Davis"/>
    <x v="3"/>
    <s v="Electronics"/>
    <n v="741.61"/>
    <n v="1"/>
    <n v="0.2"/>
    <x v="38"/>
    <n v="148.32"/>
    <m/>
  </r>
  <r>
    <s v="CUST003"/>
    <s v="Emma Davis"/>
    <x v="3"/>
    <s v="Books"/>
    <n v="1248.82"/>
    <n v="2"/>
    <n v="0.1"/>
    <x v="39"/>
    <n v="449.58"/>
    <m/>
  </r>
  <r>
    <s v="CUST012"/>
    <s v="Mary Wilson"/>
    <x v="0"/>
    <s v="Clothing"/>
    <n v="1360.36"/>
    <n v="17"/>
    <n v="0"/>
    <x v="39"/>
    <n v="680.18"/>
    <m/>
  </r>
  <r>
    <s v="CUST021"/>
    <s v="Mary Davis"/>
    <x v="1"/>
    <s v="Books"/>
    <n v="1383.3"/>
    <n v="8"/>
    <n v="0.1"/>
    <x v="40"/>
    <n v="497.99"/>
    <m/>
  </r>
  <r>
    <s v="CUST010"/>
    <s v="David Brown"/>
    <x v="4"/>
    <s v="Office Supplies"/>
    <n v="488.99"/>
    <n v="9"/>
    <n v="0"/>
    <x v="41"/>
    <n v="220.05"/>
    <m/>
  </r>
  <r>
    <s v="CUST026"/>
    <s v="Mary Davis"/>
    <x v="1"/>
    <s v="Furniture"/>
    <n v="933.71"/>
    <n v="17"/>
    <n v="0.1"/>
    <x v="42"/>
    <n v="294.12"/>
    <m/>
  </r>
  <r>
    <s v="CUST003"/>
    <s v="James Davis"/>
    <x v="0"/>
    <s v="Electronics"/>
    <n v="1005.53"/>
    <n v="17"/>
    <n v="0.2"/>
    <x v="42"/>
    <n v="201.11"/>
    <m/>
  </r>
  <r>
    <s v="CUST029"/>
    <s v="Emma Wilson"/>
    <x v="2"/>
    <s v="Electronics"/>
    <n v="1100.0999999999999"/>
    <n v="5"/>
    <n v="0.05"/>
    <x v="43"/>
    <n v="261.27"/>
    <m/>
  </r>
  <r>
    <s v="CUST003"/>
    <s v="James Wilson"/>
    <x v="3"/>
    <s v="Furniture"/>
    <n v="1034.7"/>
    <n v="15"/>
    <n v="0.15"/>
    <x v="44"/>
    <n v="307.82"/>
    <m/>
  </r>
  <r>
    <s v="CUST002"/>
    <s v="Mary Davis"/>
    <x v="2"/>
    <s v="Books"/>
    <n v="876.44"/>
    <n v="12"/>
    <n v="0.05"/>
    <x v="45"/>
    <n v="333.05"/>
    <m/>
  </r>
  <r>
    <s v="CUST020"/>
    <s v="David Brown"/>
    <x v="0"/>
    <s v="Furniture"/>
    <n v="1371.34"/>
    <n v="5"/>
    <n v="0.05"/>
    <x v="45"/>
    <n v="455.97"/>
    <m/>
  </r>
  <r>
    <s v="CUST021"/>
    <s v="Mary Jackson"/>
    <x v="3"/>
    <s v="Electronics"/>
    <n v="1020.26"/>
    <n v="11"/>
    <n v="0.05"/>
    <x v="46"/>
    <n v="242.31"/>
    <m/>
  </r>
  <r>
    <s v="CUST008"/>
    <s v="James Davis"/>
    <x v="4"/>
    <s v="Office Supplies"/>
    <n v="804.81"/>
    <n v="1"/>
    <n v="0.05"/>
    <x v="47"/>
    <n v="344.06"/>
    <m/>
  </r>
  <r>
    <s v="CUST030"/>
    <s v="David Brown"/>
    <x v="4"/>
    <s v="Electronics"/>
    <n v="608.66"/>
    <n v="1"/>
    <n v="0.05"/>
    <x v="48"/>
    <n v="144.56"/>
    <m/>
  </r>
  <r>
    <s v="CUST020"/>
    <s v="Linda Moore"/>
    <x v="2"/>
    <s v="Office Supplies"/>
    <n v="981.2"/>
    <n v="19"/>
    <n v="0"/>
    <x v="49"/>
    <n v="441.54"/>
    <m/>
  </r>
  <r>
    <s v="CUST024"/>
    <s v="David Brown"/>
    <x v="1"/>
    <s v="Electronics"/>
    <n v="539.77"/>
    <n v="10"/>
    <n v="0.15"/>
    <x v="50"/>
    <n v="114.7"/>
    <m/>
  </r>
  <r>
    <s v="CUST012"/>
    <s v="David Anderson"/>
    <x v="2"/>
    <s v="Books"/>
    <n v="804.45"/>
    <n v="5"/>
    <n v="0.2"/>
    <x v="50"/>
    <n v="257.42"/>
    <m/>
  </r>
  <r>
    <s v="CUST024"/>
    <s v="Emma Davis"/>
    <x v="0"/>
    <s v="Electronics"/>
    <n v="1526.6"/>
    <n v="13"/>
    <n v="0.2"/>
    <x v="51"/>
    <n v="305.32"/>
    <m/>
  </r>
  <r>
    <s v="CUST012"/>
    <s v="Linda Wilson"/>
    <x v="0"/>
    <s v="Electronics"/>
    <n v="1215.26"/>
    <n v="5"/>
    <n v="0.15"/>
    <x v="52"/>
    <n v="258.24"/>
    <m/>
  </r>
  <r>
    <s v="CUST005"/>
    <s v="Linda Taylor"/>
    <x v="4"/>
    <s v="Furniture"/>
    <n v="1261.3399999999999"/>
    <n v="3"/>
    <n v="0"/>
    <x v="53"/>
    <n v="441.47"/>
    <m/>
  </r>
  <r>
    <s v="CUST004"/>
    <s v="Lisa Thomas"/>
    <x v="3"/>
    <s v="Furniture"/>
    <n v="518.07000000000005"/>
    <n v="7"/>
    <n v="0.05"/>
    <x v="54"/>
    <n v="172.26"/>
    <m/>
  </r>
  <r>
    <s v="CUST026"/>
    <s v="Linda Wilson"/>
    <x v="0"/>
    <s v="Office Supplies"/>
    <n v="1111.3399999999999"/>
    <n v="1"/>
    <n v="0"/>
    <x v="55"/>
    <n v="500.1"/>
    <m/>
  </r>
  <r>
    <s v="CUST030"/>
    <s v="Mary Davis"/>
    <x v="1"/>
    <s v="Clothing"/>
    <n v="1291.47"/>
    <n v="18"/>
    <n v="0.1"/>
    <x v="56"/>
    <n v="581.16"/>
    <m/>
  </r>
  <r>
    <s v="CUST007"/>
    <s v="David Brown"/>
    <x v="3"/>
    <s v="Books"/>
    <n v="679.71"/>
    <n v="19"/>
    <n v="0"/>
    <x v="57"/>
    <n v="271.88"/>
    <m/>
  </r>
  <r>
    <s v="CUST020"/>
    <s v="Linda Jackson"/>
    <x v="1"/>
    <s v="Furniture"/>
    <n v="1143.69"/>
    <n v="17"/>
    <n v="0"/>
    <x v="57"/>
    <n v="400.29"/>
    <m/>
  </r>
  <r>
    <s v="CUST028"/>
    <s v="Linda Brown"/>
    <x v="4"/>
    <s v="Electronics"/>
    <n v="790.08"/>
    <n v="7"/>
    <n v="0.1"/>
    <x v="58"/>
    <n v="177.77"/>
    <m/>
  </r>
  <r>
    <s v="CUST005"/>
    <s v="Lisa Davis"/>
    <x v="4"/>
    <s v="Books"/>
    <n v="1070.68"/>
    <n v="7"/>
    <n v="0.05"/>
    <x v="58"/>
    <n v="406.86"/>
    <m/>
  </r>
  <r>
    <s v="CUST015"/>
    <s v="David Thomas"/>
    <x v="0"/>
    <s v="Clothing"/>
    <n v="1168.8900000000001"/>
    <n v="4"/>
    <n v="0.1"/>
    <x v="59"/>
    <n v="526"/>
    <m/>
  </r>
  <r>
    <s v="CUST003"/>
    <s v="James Davis"/>
    <x v="2"/>
    <s v="Electronics"/>
    <n v="1335.87"/>
    <n v="17"/>
    <n v="0"/>
    <x v="59"/>
    <n v="333.97"/>
    <m/>
  </r>
  <r>
    <s v="CUST023"/>
    <s v="David Brown"/>
    <x v="1"/>
    <s v="Furniture"/>
    <n v="873.7"/>
    <n v="9"/>
    <n v="0"/>
    <x v="60"/>
    <n v="305.8"/>
    <m/>
  </r>
  <r>
    <s v="CUST004"/>
    <s v="Sarah Davis"/>
    <x v="0"/>
    <s v="Office Supplies"/>
    <n v="1443.98"/>
    <n v="19"/>
    <n v="0"/>
    <x v="61"/>
    <n v="649.79"/>
    <m/>
  </r>
  <r>
    <s v="CUST023"/>
    <s v="James Wilson"/>
    <x v="1"/>
    <s v="Office Supplies"/>
    <n v="1154.33"/>
    <n v="11"/>
    <n v="0.15"/>
    <x v="62"/>
    <n v="441.53"/>
    <m/>
  </r>
  <r>
    <s v="CUST022"/>
    <s v="Linda Brown"/>
    <x v="2"/>
    <s v="Books"/>
    <n v="1264.49"/>
    <n v="16"/>
    <n v="0.05"/>
    <x v="62"/>
    <n v="480.51"/>
    <m/>
  </r>
  <r>
    <s v="CUST007"/>
    <s v="Emma Taylor"/>
    <x v="0"/>
    <s v="Furniture"/>
    <n v="1101.55"/>
    <n v="4"/>
    <n v="0.1"/>
    <x v="63"/>
    <n v="346.99"/>
    <m/>
  </r>
  <r>
    <s v="CUST013"/>
    <s v="Robert Anderson"/>
    <x v="2"/>
    <s v="Furniture"/>
    <n v="727.73"/>
    <n v="1"/>
    <n v="0.1"/>
    <x v="64"/>
    <n v="229.23"/>
    <m/>
  </r>
  <r>
    <s v="CUST027"/>
    <s v="Emma Davis"/>
    <x v="1"/>
    <s v="Office Supplies"/>
    <n v="875.41"/>
    <n v="13"/>
    <n v="0.15"/>
    <x v="64"/>
    <n v="334.84"/>
    <m/>
  </r>
  <r>
    <s v="CUST003"/>
    <s v="James Wilson"/>
    <x v="0"/>
    <s v="Electronics"/>
    <n v="1158.94"/>
    <n v="19"/>
    <n v="0.2"/>
    <x v="65"/>
    <n v="231.79"/>
    <m/>
  </r>
  <r>
    <s v="CUST018"/>
    <s v="Mary Jackson"/>
    <x v="2"/>
    <s v="Books"/>
    <n v="966.3"/>
    <n v="2"/>
    <n v="0.15"/>
    <x v="66"/>
    <n v="328.54"/>
    <m/>
  </r>
  <r>
    <s v="CUST020"/>
    <s v="James Taylor"/>
    <x v="2"/>
    <s v="Books"/>
    <n v="917.48"/>
    <n v="6"/>
    <n v="0"/>
    <x v="67"/>
    <n v="366.99"/>
    <m/>
  </r>
  <r>
    <s v="CUST029"/>
    <s v="Emma Wilson"/>
    <x v="0"/>
    <s v="Furniture"/>
    <n v="1172.97"/>
    <n v="7"/>
    <n v="0.15"/>
    <x v="68"/>
    <n v="348.96"/>
    <m/>
  </r>
  <r>
    <s v="CUST021"/>
    <s v="James Wilson"/>
    <x v="3"/>
    <s v="Clothing"/>
    <n v="1205.82"/>
    <n v="11"/>
    <n v="0.1"/>
    <x v="68"/>
    <n v="542.62"/>
    <m/>
  </r>
  <r>
    <s v="CUST017"/>
    <s v="Sarah Davis"/>
    <x v="0"/>
    <s v="Office Supplies"/>
    <n v="826.93"/>
    <n v="10"/>
    <n v="0.2"/>
    <x v="69"/>
    <n v="297.69"/>
    <m/>
  </r>
  <r>
    <s v="CUST003"/>
    <s v="James Wilson"/>
    <x v="4"/>
    <s v="Clothing"/>
    <n v="902.19"/>
    <n v="12"/>
    <n v="0"/>
    <x v="69"/>
    <n v="451.1"/>
    <m/>
  </r>
  <r>
    <s v="CUST027"/>
    <s v="Emma Davis"/>
    <x v="3"/>
    <s v="Books"/>
    <n v="585.97"/>
    <n v="17"/>
    <n v="0.1"/>
    <x v="70"/>
    <n v="210.95"/>
    <m/>
  </r>
  <r>
    <s v="CUST016"/>
    <s v="Michael Anderson"/>
    <x v="3"/>
    <s v="Clothing"/>
    <n v="990.19"/>
    <n v="8"/>
    <n v="0.1"/>
    <x v="70"/>
    <n v="445.59"/>
    <m/>
  </r>
  <r>
    <s v="CUST008"/>
    <s v="David Davis"/>
    <x v="4"/>
    <s v="Electronics"/>
    <n v="1014.09"/>
    <n v="13"/>
    <n v="0.2"/>
    <x v="71"/>
    <n v="202.82"/>
    <m/>
  </r>
  <r>
    <s v="CUST012"/>
    <s v="Lisa Davis"/>
    <x v="3"/>
    <s v="Electronics"/>
    <n v="925.29"/>
    <n v="17"/>
    <n v="0"/>
    <x v="72"/>
    <n v="231.32"/>
    <m/>
  </r>
  <r>
    <s v="CUST025"/>
    <s v="Mary Jackson"/>
    <x v="1"/>
    <s v="Furniture"/>
    <n v="1286.54"/>
    <n v="8"/>
    <n v="0"/>
    <x v="73"/>
    <n v="450.29"/>
    <m/>
  </r>
  <r>
    <s v="CUST014"/>
    <s v="Sarah Davis"/>
    <x v="2"/>
    <s v="Books"/>
    <n v="961.62"/>
    <n v="8"/>
    <n v="0.2"/>
    <x v="74"/>
    <n v="307.72000000000003"/>
    <m/>
  </r>
  <r>
    <s v="CUST008"/>
    <s v="James Wilson"/>
    <x v="1"/>
    <s v="Books"/>
    <n v="1081.1400000000001"/>
    <n v="19"/>
    <n v="0.15"/>
    <x v="74"/>
    <n v="367.59"/>
    <m/>
  </r>
  <r>
    <s v="CUST015"/>
    <s v="James Wilson"/>
    <x v="0"/>
    <s v="Clothing"/>
    <n v="1923.66"/>
    <n v="9"/>
    <n v="0.2"/>
    <x v="75"/>
    <n v="769.46"/>
    <m/>
  </r>
  <r>
    <s v="CUST025"/>
    <s v="Emma Taylor"/>
    <x v="4"/>
    <s v="Clothing"/>
    <n v="728.71"/>
    <n v="14"/>
    <n v="0.1"/>
    <x v="76"/>
    <n v="327.92"/>
    <m/>
  </r>
  <r>
    <s v="CUST019"/>
    <s v="Linda Jackson"/>
    <x v="4"/>
    <s v="Clothing"/>
    <n v="1301.8900000000001"/>
    <n v="7"/>
    <n v="0.15"/>
    <x v="76"/>
    <n v="553.29999999999995"/>
    <m/>
  </r>
  <r>
    <s v="CUST024"/>
    <s v="Emma Taylor"/>
    <x v="1"/>
    <s v="Books"/>
    <n v="980.18"/>
    <n v="16"/>
    <n v="0.1"/>
    <x v="77"/>
    <n v="352.86"/>
    <m/>
  </r>
  <r>
    <s v="CUST027"/>
    <s v="James Wilson"/>
    <x v="0"/>
    <s v="Clothing"/>
    <n v="697.57"/>
    <n v="17"/>
    <n v="0.1"/>
    <x v="78"/>
    <n v="313.91000000000003"/>
    <m/>
  </r>
  <r>
    <s v="CUST006"/>
    <s v="David Anderson"/>
    <x v="0"/>
    <s v="Furniture"/>
    <n v="1193.6099999999999"/>
    <n v="1"/>
    <n v="0.15"/>
    <x v="78"/>
    <n v="355.1"/>
    <m/>
  </r>
  <r>
    <s v="CUST009"/>
    <s v="Emma Davis"/>
    <x v="2"/>
    <s v="Electronics"/>
    <n v="771.02"/>
    <n v="1"/>
    <n v="0"/>
    <x v="79"/>
    <n v="192.76"/>
    <m/>
  </r>
  <r>
    <s v="CUST003"/>
    <s v="Linda Moore"/>
    <x v="3"/>
    <s v="Clothing"/>
    <n v="661.09"/>
    <n v="1"/>
    <n v="0.2"/>
    <x v="80"/>
    <n v="264.44"/>
    <m/>
  </r>
  <r>
    <s v="CUST012"/>
    <s v="David Brown"/>
    <x v="0"/>
    <s v="Electronics"/>
    <n v="688.83"/>
    <n v="15"/>
    <n v="0"/>
    <x v="81"/>
    <n v="172.21"/>
    <m/>
  </r>
  <r>
    <s v="CUST013"/>
    <s v="Linda Wilson"/>
    <x v="4"/>
    <s v="Books"/>
    <n v="1249.0999999999999"/>
    <n v="4"/>
    <n v="0.05"/>
    <x v="82"/>
    <n v="474.66"/>
    <m/>
  </r>
  <r>
    <s v="CUST008"/>
    <s v="James Wilson"/>
    <x v="1"/>
    <s v="Office Supplies"/>
    <n v="1014.22"/>
    <n v="14"/>
    <n v="0.05"/>
    <x v="83"/>
    <n v="433.58"/>
    <m/>
  </r>
  <r>
    <s v="CUST025"/>
    <s v="Lisa Davis"/>
    <x v="1"/>
    <s v="Books"/>
    <n v="1010.58"/>
    <n v="2"/>
    <n v="0.15"/>
    <x v="84"/>
    <n v="343.6"/>
    <m/>
  </r>
  <r>
    <s v="CUST026"/>
    <s v="Mary Wilson"/>
    <x v="3"/>
    <s v="Furniture"/>
    <n v="957.29"/>
    <n v="4"/>
    <n v="0.05"/>
    <x v="84"/>
    <n v="318.3"/>
    <m/>
  </r>
  <r>
    <s v="CUST001"/>
    <s v="Lisa Thomas"/>
    <x v="3"/>
    <s v="Furniture"/>
    <n v="1077.92"/>
    <n v="3"/>
    <n v="0.05"/>
    <x v="85"/>
    <n v="358.41"/>
    <m/>
  </r>
  <r>
    <s v="CUST028"/>
    <s v="Linda Brown"/>
    <x v="2"/>
    <s v="Clothing"/>
    <n v="1163.01"/>
    <n v="5"/>
    <n v="0"/>
    <x v="86"/>
    <n v="581.5"/>
    <m/>
  </r>
  <r>
    <s v="CUST025"/>
    <s v="Lisa Thomas"/>
    <x v="1"/>
    <s v="Office Supplies"/>
    <n v="1014.56"/>
    <n v="10"/>
    <n v="0.1"/>
    <x v="87"/>
    <n v="410.9"/>
    <m/>
  </r>
  <r>
    <s v="CUST019"/>
    <s v="James Taylor"/>
    <x v="2"/>
    <s v="Electronics"/>
    <n v="718.04"/>
    <n v="14"/>
    <n v="0"/>
    <x v="88"/>
    <n v="179.51"/>
    <m/>
  </r>
  <r>
    <s v="CUST004"/>
    <s v="James Taylor"/>
    <x v="4"/>
    <s v="Clothing"/>
    <n v="1277.8499999999999"/>
    <n v="18"/>
    <n v="0.2"/>
    <x v="88"/>
    <n v="511.14"/>
    <m/>
  </r>
  <r>
    <s v="CUST024"/>
    <s v="James Wilson"/>
    <x v="3"/>
    <s v="Electronics"/>
    <n v="706.73"/>
    <n v="1"/>
    <n v="0.15"/>
    <x v="88"/>
    <n v="150.18"/>
    <m/>
  </r>
  <r>
    <s v="CUST002"/>
    <s v="Linda Brown"/>
    <x v="1"/>
    <s v="Electronics"/>
    <n v="1410.59"/>
    <n v="15"/>
    <n v="0"/>
    <x v="89"/>
    <n v="352.65"/>
    <m/>
  </r>
  <r>
    <s v="CUST009"/>
    <s v="Emma Wilson"/>
    <x v="2"/>
    <s v="Furniture"/>
    <n v="1350.33"/>
    <n v="10"/>
    <n v="0"/>
    <x v="89"/>
    <n v="472.62"/>
    <m/>
  </r>
  <r>
    <s v="CUST029"/>
    <s v="Lisa Thomas"/>
    <x v="1"/>
    <s v="Electronics"/>
    <n v="919.18"/>
    <n v="4"/>
    <n v="0.15"/>
    <x v="89"/>
    <n v="195.33"/>
    <m/>
  </r>
  <r>
    <s v="CUST027"/>
    <s v="James Wilson"/>
    <x v="0"/>
    <s v="Electronics"/>
    <n v="258.51"/>
    <n v="19"/>
    <n v="0"/>
    <x v="90"/>
    <n v="64.63"/>
    <m/>
  </r>
  <r>
    <s v="CUST011"/>
    <s v="Emma Wilson"/>
    <x v="1"/>
    <s v="Books"/>
    <n v="1213.48"/>
    <n v="5"/>
    <n v="0.05"/>
    <x v="90"/>
    <n v="461.12"/>
    <m/>
  </r>
  <r>
    <s v="CUST021"/>
    <s v="Emma Davis"/>
    <x v="4"/>
    <s v="Books"/>
    <n v="1150.28"/>
    <n v="8"/>
    <n v="0.05"/>
    <x v="91"/>
    <n v="437.11"/>
    <m/>
  </r>
  <r>
    <s v="CUST014"/>
    <s v="David Anderson"/>
    <x v="2"/>
    <s v="Furniture"/>
    <n v="853.86"/>
    <n v="8"/>
    <n v="0.1"/>
    <x v="91"/>
    <n v="268.97000000000003"/>
    <m/>
  </r>
  <r>
    <s v="CUST018"/>
    <s v="Lisa Thomas"/>
    <x v="2"/>
    <s v="Electronics"/>
    <n v="1061.04"/>
    <n v="1"/>
    <n v="0"/>
    <x v="92"/>
    <n v="265.26"/>
    <m/>
  </r>
  <r>
    <s v="CUST001"/>
    <s v="Sarah Anderson"/>
    <x v="0"/>
    <s v="Electronics"/>
    <n v="894.55"/>
    <n v="19"/>
    <n v="0.2"/>
    <x v="93"/>
    <n v="178.91"/>
    <m/>
  </r>
  <r>
    <s v="CUST007"/>
    <s v="Emma Davis"/>
    <x v="3"/>
    <s v="Office Supplies"/>
    <n v="833.91"/>
    <n v="3"/>
    <n v="0.05"/>
    <x v="94"/>
    <n v="356.5"/>
    <m/>
  </r>
  <r>
    <s v="CUST015"/>
    <s v="David Anderson"/>
    <x v="0"/>
    <s v="Furniture"/>
    <n v="820.19"/>
    <n v="4"/>
    <n v="0.2"/>
    <x v="95"/>
    <n v="229.65"/>
    <m/>
  </r>
  <r>
    <s v="CUST015"/>
    <s v="Emma Davis"/>
    <x v="4"/>
    <s v="Electronics"/>
    <n v="511.74"/>
    <n v="8"/>
    <n v="0.05"/>
    <x v="96"/>
    <n v="121.54"/>
    <m/>
  </r>
  <r>
    <s v="CUST002"/>
    <s v="Emma Wilson"/>
    <x v="2"/>
    <s v="Furniture"/>
    <n v="806.03"/>
    <n v="19"/>
    <n v="0.05"/>
    <x v="97"/>
    <n v="268"/>
    <m/>
  </r>
  <r>
    <s v="CUST001"/>
    <s v="Michael Anderson"/>
    <x v="4"/>
    <s v="Furniture"/>
    <n v="1432.47"/>
    <n v="16"/>
    <n v="0.15"/>
    <x v="98"/>
    <n v="426.16"/>
    <m/>
  </r>
  <r>
    <s v="CUST027"/>
    <s v="Linda Wilson"/>
    <x v="4"/>
    <s v="Electronics"/>
    <n v="1488.58"/>
    <n v="10"/>
    <n v="0.15"/>
    <x v="98"/>
    <n v="316.32"/>
    <m/>
  </r>
  <r>
    <s v="CUST026"/>
    <s v="Emma Taylor"/>
    <x v="1"/>
    <s v="Books"/>
    <n v="1231.26"/>
    <n v="9"/>
    <n v="0"/>
    <x v="99"/>
    <n v="492.5"/>
    <m/>
  </r>
  <r>
    <s v="CUST026"/>
    <s v="Sarah Anderson"/>
    <x v="0"/>
    <s v="Electronics"/>
    <n v="1161.67"/>
    <n v="19"/>
    <n v="0.2"/>
    <x v="100"/>
    <n v="232.33"/>
    <m/>
  </r>
  <r>
    <s v="CUST022"/>
    <s v="Lisa Thomas"/>
    <x v="4"/>
    <s v="Office Supplies"/>
    <n v="388.23"/>
    <n v="16"/>
    <n v="0.05"/>
    <x v="101"/>
    <n v="165.97"/>
    <m/>
  </r>
  <r>
    <s v="CUST004"/>
    <s v="Mary Davis"/>
    <x v="3"/>
    <s v="Clothing"/>
    <n v="1589.42"/>
    <n v="6"/>
    <n v="0.15"/>
    <x v="102"/>
    <n v="675.5"/>
    <m/>
  </r>
  <r>
    <s v="CUST001"/>
    <s v="David Anderson"/>
    <x v="3"/>
    <s v="Clothing"/>
    <n v="336.66"/>
    <n v="13"/>
    <n v="0.2"/>
    <x v="102"/>
    <n v="134.66"/>
    <m/>
  </r>
  <r>
    <s v="CUST022"/>
    <s v="James Wilson"/>
    <x v="0"/>
    <s v="Books"/>
    <n v="1353.79"/>
    <n v="14"/>
    <n v="0.1"/>
    <x v="103"/>
    <n v="487.36"/>
    <m/>
  </r>
  <r>
    <s v="CUST011"/>
    <s v="Linda Moore"/>
    <x v="4"/>
    <s v="Clothing"/>
    <n v="662.61"/>
    <n v="11"/>
    <n v="0.05"/>
    <x v="104"/>
    <n v="314.74"/>
    <m/>
  </r>
  <r>
    <s v="CUST028"/>
    <s v="Lisa Davis"/>
    <x v="3"/>
    <s v="Office Supplies"/>
    <n v="309.42"/>
    <n v="1"/>
    <n v="0.2"/>
    <x v="104"/>
    <n v="111.39"/>
    <m/>
  </r>
  <r>
    <s v="CUST011"/>
    <s v="Linda Wilson"/>
    <x v="3"/>
    <s v="Books"/>
    <n v="884.63"/>
    <n v="18"/>
    <n v="0.1"/>
    <x v="105"/>
    <n v="318.47000000000003"/>
    <m/>
  </r>
  <r>
    <s v="CUST028"/>
    <s v="James Wilson"/>
    <x v="4"/>
    <s v="Office Supplies"/>
    <n v="745.05"/>
    <n v="10"/>
    <n v="0.1"/>
    <x v="106"/>
    <n v="301.75"/>
    <m/>
  </r>
  <r>
    <s v="CUST016"/>
    <s v="James Taylor"/>
    <x v="2"/>
    <s v="Clothing"/>
    <n v="870.23"/>
    <n v="5"/>
    <n v="0.05"/>
    <x v="106"/>
    <n v="413.36"/>
    <m/>
  </r>
  <r>
    <s v="CUST010"/>
    <s v="Linda Wilson"/>
    <x v="0"/>
    <s v="Furniture"/>
    <n v="862.19"/>
    <n v="18"/>
    <n v="0.05"/>
    <x v="107"/>
    <n v="286.68"/>
    <m/>
  </r>
  <r>
    <s v="CUST013"/>
    <s v="Mary Wilson"/>
    <x v="3"/>
    <s v="Clothing"/>
    <n v="1171.18"/>
    <n v="19"/>
    <n v="0.05"/>
    <x v="108"/>
    <n v="556.30999999999995"/>
    <m/>
  </r>
  <r>
    <s v="CUST015"/>
    <s v="Robert Anderson"/>
    <x v="2"/>
    <s v="Furniture"/>
    <n v="1054.56"/>
    <n v="11"/>
    <n v="0.1"/>
    <x v="109"/>
    <n v="332.19"/>
    <m/>
  </r>
  <r>
    <s v="CUST015"/>
    <s v="James Wilson"/>
    <x v="3"/>
    <s v="Electronics"/>
    <n v="1681.21"/>
    <n v="5"/>
    <n v="0.2"/>
    <x v="110"/>
    <n v="336.24"/>
    <m/>
  </r>
  <r>
    <s v="CUST015"/>
    <s v="David Thomas"/>
    <x v="0"/>
    <s v="Clothing"/>
    <n v="379.77"/>
    <n v="9"/>
    <n v="0.05"/>
    <x v="111"/>
    <n v="180.39"/>
    <m/>
  </r>
  <r>
    <s v="CUST008"/>
    <s v="Lisa Thomas"/>
    <x v="4"/>
    <s v="Clothing"/>
    <n v="1076.33"/>
    <n v="2"/>
    <n v="0.1"/>
    <x v="112"/>
    <n v="484.35"/>
    <m/>
  </r>
  <r>
    <s v="CUST008"/>
    <s v="Mary Davis"/>
    <x v="4"/>
    <s v="Office Supplies"/>
    <n v="1250.71"/>
    <n v="7"/>
    <n v="0"/>
    <x v="112"/>
    <n v="562.82000000000005"/>
    <m/>
  </r>
  <r>
    <s v="CUST023"/>
    <s v="James Taylor"/>
    <x v="2"/>
    <s v="Clothing"/>
    <n v="1118.3399999999999"/>
    <n v="6"/>
    <n v="0.2"/>
    <x v="112"/>
    <n v="447.34"/>
    <m/>
  </r>
  <r>
    <s v="CUST024"/>
    <s v="Linda Taylor"/>
    <x v="3"/>
    <s v="Clothing"/>
    <n v="1622.62"/>
    <n v="12"/>
    <n v="0.2"/>
    <x v="113"/>
    <n v="649.04999999999995"/>
    <m/>
  </r>
  <r>
    <s v="CUST018"/>
    <s v="Lisa Davis"/>
    <x v="3"/>
    <s v="Books"/>
    <n v="640.64"/>
    <n v="11"/>
    <n v="0.2"/>
    <x v="114"/>
    <n v="205"/>
    <m/>
  </r>
  <r>
    <s v="CUST030"/>
    <s v="Sarah Anderson"/>
    <x v="0"/>
    <s v="Clothing"/>
    <n v="585.16"/>
    <n v="17"/>
    <n v="0.1"/>
    <x v="115"/>
    <n v="263.32"/>
    <m/>
  </r>
  <r>
    <s v="CUST030"/>
    <s v="Mary Davis"/>
    <x v="1"/>
    <s v="Clothing"/>
    <n v="1109.98"/>
    <n v="5"/>
    <n v="0.2"/>
    <x v="116"/>
    <n v="443.99"/>
    <m/>
  </r>
  <r>
    <s v="CUST015"/>
    <s v="Lisa Thomas"/>
    <x v="1"/>
    <s v="Books"/>
    <n v="1098.08"/>
    <n v="9"/>
    <n v="0.1"/>
    <x v="117"/>
    <n v="395.31"/>
    <m/>
  </r>
  <r>
    <s v="CUST002"/>
    <s v="Lisa Davis"/>
    <x v="0"/>
    <s v="Office Supplies"/>
    <n v="827.25"/>
    <n v="7"/>
    <n v="0.1"/>
    <x v="118"/>
    <n v="335.04"/>
    <m/>
  </r>
  <r>
    <s v="CUST024"/>
    <s v="Linda Wilson"/>
    <x v="4"/>
    <s v="Clothing"/>
    <n v="741.88"/>
    <n v="16"/>
    <n v="0.1"/>
    <x v="119"/>
    <n v="333.85"/>
    <m/>
  </r>
  <r>
    <s v="CUST004"/>
    <s v="James Davis"/>
    <x v="1"/>
    <s v="Office Supplies"/>
    <n v="1311.26"/>
    <n v="6"/>
    <n v="0.1"/>
    <x v="120"/>
    <n v="531.05999999999995"/>
    <m/>
  </r>
  <r>
    <s v="CUST004"/>
    <s v="Mary Davis"/>
    <x v="2"/>
    <s v="Office Supplies"/>
    <n v="573.32000000000005"/>
    <n v="19"/>
    <n v="0.1"/>
    <x v="121"/>
    <n v="232.19"/>
    <m/>
  </r>
  <r>
    <s v="CUST028"/>
    <s v="James Wilson"/>
    <x v="0"/>
    <s v="Electronics"/>
    <n v="1115.22"/>
    <n v="14"/>
    <n v="0.2"/>
    <x v="122"/>
    <n v="223.04"/>
    <m/>
  </r>
  <r>
    <s v="CUST012"/>
    <s v="Lisa Thomas"/>
    <x v="3"/>
    <s v="Clothing"/>
    <n v="845.84"/>
    <n v="4"/>
    <n v="0"/>
    <x v="123"/>
    <n v="422.92"/>
    <m/>
  </r>
  <r>
    <s v="CUST026"/>
    <s v="David Brown"/>
    <x v="0"/>
    <s v="Electronics"/>
    <n v="1029.8"/>
    <n v="3"/>
    <n v="0"/>
    <x v="124"/>
    <n v="257.45"/>
    <m/>
  </r>
  <r>
    <s v="CUST009"/>
    <s v="Mary Davis"/>
    <x v="3"/>
    <s v="Books"/>
    <n v="1189.83"/>
    <n v="2"/>
    <n v="0.2"/>
    <x v="125"/>
    <n v="380.75"/>
    <m/>
  </r>
  <r>
    <s v="CUST003"/>
    <s v="Sarah Anderson"/>
    <x v="2"/>
    <s v="Books"/>
    <n v="704.28"/>
    <n v="15"/>
    <n v="0.2"/>
    <x v="126"/>
    <n v="225.37"/>
    <m/>
  </r>
  <r>
    <s v="CUST002"/>
    <s v="Mary Jackson"/>
    <x v="4"/>
    <s v="Office Supplies"/>
    <n v="1618.22"/>
    <n v="12"/>
    <n v="0.2"/>
    <x v="126"/>
    <n v="582.55999999999995"/>
    <m/>
  </r>
  <r>
    <s v="CUST013"/>
    <s v="Linda Taylor"/>
    <x v="4"/>
    <s v="Books"/>
    <n v="1014.43"/>
    <n v="2"/>
    <n v="0.15"/>
    <x v="127"/>
    <n v="344.91"/>
    <m/>
  </r>
  <r>
    <s v="CUST018"/>
    <s v="Mary Davis"/>
    <x v="4"/>
    <s v="Clothing"/>
    <n v="826.97"/>
    <n v="18"/>
    <n v="0.2"/>
    <x v="128"/>
    <n v="330.79"/>
    <m/>
  </r>
  <r>
    <s v="CUST017"/>
    <s v="Mary Davis"/>
    <x v="4"/>
    <s v="Clothing"/>
    <n v="1022.23"/>
    <n v="8"/>
    <n v="0.1"/>
    <x v="129"/>
    <n v="460"/>
    <m/>
  </r>
  <r>
    <s v="CUST004"/>
    <s v="Linda Wilson"/>
    <x v="1"/>
    <s v="Books"/>
    <n v="1099.69"/>
    <n v="6"/>
    <n v="0"/>
    <x v="130"/>
    <n v="439.88"/>
    <m/>
  </r>
  <r>
    <s v="CUST028"/>
    <s v="Sarah Davis"/>
    <x v="3"/>
    <s v="Books"/>
    <n v="710.52"/>
    <n v="8"/>
    <n v="0.1"/>
    <x v="131"/>
    <n v="255.79"/>
    <m/>
  </r>
  <r>
    <s v="CUST028"/>
    <s v="Mary Wilson"/>
    <x v="3"/>
    <s v="Books"/>
    <n v="499.18"/>
    <n v="15"/>
    <n v="0.2"/>
    <x v="132"/>
    <n v="159.74"/>
    <m/>
  </r>
  <r>
    <s v="CUST014"/>
    <s v="Emma Davis"/>
    <x v="2"/>
    <s v="Books"/>
    <n v="1064.19"/>
    <n v="18"/>
    <n v="0.05"/>
    <x v="133"/>
    <n v="404.39"/>
    <m/>
  </r>
  <r>
    <s v="CUST003"/>
    <s v="Emma Davis"/>
    <x v="1"/>
    <s v="Office Supplies"/>
    <n v="438.76"/>
    <n v="18"/>
    <n v="0.05"/>
    <x v="134"/>
    <n v="187.57"/>
    <m/>
  </r>
  <r>
    <s v="CUST029"/>
    <s v="David Brown"/>
    <x v="0"/>
    <s v="Clothing"/>
    <n v="864.98"/>
    <n v="2"/>
    <n v="0.05"/>
    <x v="135"/>
    <n v="410.87"/>
    <m/>
  </r>
  <r>
    <s v="CUST021"/>
    <s v="David Brown"/>
    <x v="0"/>
    <s v="Furniture"/>
    <n v="984.93"/>
    <n v="14"/>
    <n v="0.2"/>
    <x v="136"/>
    <n v="275.77999999999997"/>
    <m/>
  </r>
  <r>
    <s v="CUST007"/>
    <s v="David Brown"/>
    <x v="0"/>
    <s v="Clothing"/>
    <n v="1493.49"/>
    <n v="18"/>
    <n v="0"/>
    <x v="137"/>
    <n v="746.74"/>
    <m/>
  </r>
  <r>
    <s v="CUST009"/>
    <s v="Linda Taylor"/>
    <x v="2"/>
    <s v="Clothing"/>
    <n v="689.43"/>
    <n v="9"/>
    <n v="0.1"/>
    <x v="138"/>
    <n v="310.24"/>
    <m/>
  </r>
  <r>
    <s v="CUST023"/>
    <s v="Mary Wilson"/>
    <x v="2"/>
    <s v="Clothing"/>
    <n v="682.24"/>
    <n v="1"/>
    <n v="0"/>
    <x v="139"/>
    <n v="341.12"/>
    <m/>
  </r>
  <r>
    <s v="CUST029"/>
    <s v="Michael Anderson"/>
    <x v="3"/>
    <s v="Electronics"/>
    <n v="458.54"/>
    <n v="15"/>
    <n v="0.2"/>
    <x v="140"/>
    <n v="91.71"/>
    <m/>
  </r>
  <r>
    <s v="CUST009"/>
    <s v="Michael Anderson"/>
    <x v="2"/>
    <s v="Furniture"/>
    <n v="1184.25"/>
    <n v="11"/>
    <n v="0.2"/>
    <x v="141"/>
    <n v="331.59"/>
    <m/>
  </r>
  <r>
    <s v="CUST007"/>
    <s v="James Davis"/>
    <x v="2"/>
    <s v="Clothing"/>
    <n v="762.14"/>
    <n v="9"/>
    <n v="0"/>
    <x v="142"/>
    <n v="381.07"/>
    <m/>
  </r>
  <r>
    <s v="CUST030"/>
    <s v="Linda Taylor"/>
    <x v="3"/>
    <s v="Books"/>
    <n v="750.71"/>
    <n v="10"/>
    <n v="0.15"/>
    <x v="142"/>
    <n v="255.24"/>
    <m/>
  </r>
  <r>
    <s v="CUST018"/>
    <s v="David Anderson"/>
    <x v="4"/>
    <s v="Clothing"/>
    <n v="1456.94"/>
    <n v="14"/>
    <n v="0.05"/>
    <x v="143"/>
    <n v="692.05"/>
    <m/>
  </r>
  <r>
    <s v="CUST008"/>
    <s v="Emma Wilson"/>
    <x v="1"/>
    <s v="Furniture"/>
    <n v="1093.3800000000001"/>
    <n v="17"/>
    <n v="0.1"/>
    <x v="143"/>
    <n v="344.41"/>
    <m/>
  </r>
  <r>
    <s v="CUST014"/>
    <s v="Sarah Anderson"/>
    <x v="0"/>
    <s v="Clothing"/>
    <n v="934.27"/>
    <n v="8"/>
    <n v="0.15"/>
    <x v="144"/>
    <n v="397.06"/>
    <m/>
  </r>
  <r>
    <s v="CUST024"/>
    <s v="David Thomas"/>
    <x v="4"/>
    <s v="Clothing"/>
    <n v="1465.35"/>
    <n v="8"/>
    <n v="0.2"/>
    <x v="144"/>
    <n v="586.14"/>
    <m/>
  </r>
  <r>
    <s v="CUST028"/>
    <s v="Robert Anderson"/>
    <x v="2"/>
    <s v="Office Supplies"/>
    <n v="740.8"/>
    <n v="3"/>
    <n v="0"/>
    <x v="145"/>
    <n v="333.36"/>
    <m/>
  </r>
  <r>
    <s v="CUST015"/>
    <s v="Sarah Anderson"/>
    <x v="0"/>
    <s v="Office Supplies"/>
    <n v="545.44000000000005"/>
    <n v="17"/>
    <n v="0"/>
    <x v="146"/>
    <n v="245.45"/>
    <m/>
  </r>
  <r>
    <s v="CUST010"/>
    <s v="David Thomas"/>
    <x v="1"/>
    <s v="Books"/>
    <n v="997.61"/>
    <n v="8"/>
    <n v="0.05"/>
    <x v="146"/>
    <n v="379.09"/>
    <m/>
  </r>
  <r>
    <s v="CUST016"/>
    <s v="David Thomas"/>
    <x v="2"/>
    <s v="Clothing"/>
    <n v="928.32"/>
    <n v="2"/>
    <n v="0.05"/>
    <x v="147"/>
    <n v="440.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2D897-62DD-4E50-9144-37D88829FF3E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:I10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2"/>
    <field x="11"/>
    <field x="10"/>
  </rowFields>
  <rowItems count="8">
    <i>
      <x v="1"/>
    </i>
    <i r="1">
      <x v="2"/>
    </i>
    <i r="1">
      <x v="3"/>
    </i>
    <i r="1">
      <x v="4"/>
    </i>
    <i>
      <x v="2"/>
    </i>
    <i r="1">
      <x v="1"/>
    </i>
    <i r="1">
      <x v="2"/>
    </i>
    <i t="grand">
      <x/>
    </i>
  </rowItems>
  <colItems count="1">
    <i/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9F94C-9006-4E7A-A336-EBF1432FF1F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:B7" firstHeaderRow="1" firstDataRow="1" firstDataCol="1"/>
  <pivotFields count="13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7E9C9-C16E-489E-B3EC-2458CD409342}" name="Table1" displayName="Table1" ref="A1:J43" totalsRowShown="0">
  <autoFilter ref="A1:J43" xr:uid="{E857E9C9-C16E-489E-B3EC-2458CD409342}"/>
  <tableColumns count="10">
    <tableColumn id="1" xr3:uid="{7767F110-42FF-498D-8F4A-457FC1A240AB}" name="Customer_ID"/>
    <tableColumn id="2" xr3:uid="{AC1C0DB7-EC2C-4FF5-8D47-F8611A7C82D5}" name="Customer_Name"/>
    <tableColumn id="3" xr3:uid="{E7BE032C-11AC-4131-8116-A346C995675C}" name="Region"/>
    <tableColumn id="4" xr3:uid="{1BC8C286-AE3C-4E79-82CE-0BB2E2F2052A}" name="Product_Category"/>
    <tableColumn id="5" xr3:uid="{030D4F39-2DB5-423F-8A0D-B4111EB60C91}" name="Sales"/>
    <tableColumn id="6" xr3:uid="{86EDCCE8-9269-4CE7-B3E0-E9F377C333ED}" name="Quantity"/>
    <tableColumn id="7" xr3:uid="{35E7EEEA-69E0-4EDD-A079-4E4E220FFDC5}" name="Discount"/>
    <tableColumn id="8" xr3:uid="{62B20E8C-5E83-4CDE-819E-570A271C8B85}" name="Order_Date" dataDxfId="2"/>
    <tableColumn id="9" xr3:uid="{62EDC165-304F-44A3-B158-019C78703A35}" name="Profit"/>
    <tableColumn id="10" xr3:uid="{521501E9-A7FE-408D-A75E-028E149A0FAB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8AC4-455A-4226-95D0-A3A8A6509F71}">
  <dimension ref="A1:J43"/>
  <sheetViews>
    <sheetView workbookViewId="0">
      <selection activeCell="D20" sqref="D20"/>
    </sheetView>
  </sheetViews>
  <sheetFormatPr defaultRowHeight="14.4" x14ac:dyDescent="0.3"/>
  <cols>
    <col min="1" max="1" width="13.5546875" customWidth="1"/>
    <col min="2" max="2" width="16.77734375" customWidth="1"/>
    <col min="4" max="4" width="17.5546875" customWidth="1"/>
    <col min="6" max="6" width="10" customWidth="1"/>
    <col min="7" max="7" width="10.21875" customWidth="1"/>
    <col min="8" max="8" width="12.3320312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133</v>
      </c>
    </row>
    <row r="2" spans="1:10" x14ac:dyDescent="0.3">
      <c r="A2" t="s">
        <v>60</v>
      </c>
      <c r="B2" t="s">
        <v>36</v>
      </c>
      <c r="C2" t="s">
        <v>20</v>
      </c>
      <c r="D2" t="s">
        <v>15</v>
      </c>
      <c r="E2">
        <v>928.32</v>
      </c>
      <c r="F2">
        <v>2</v>
      </c>
      <c r="G2">
        <v>0.05</v>
      </c>
      <c r="H2" s="68">
        <v>45754</v>
      </c>
      <c r="I2">
        <v>440.95</v>
      </c>
    </row>
    <row r="3" spans="1:10" x14ac:dyDescent="0.3">
      <c r="A3" t="s">
        <v>52</v>
      </c>
      <c r="B3" t="s">
        <v>14</v>
      </c>
      <c r="C3" t="s">
        <v>20</v>
      </c>
      <c r="D3" t="s">
        <v>39</v>
      </c>
      <c r="E3">
        <v>740.8</v>
      </c>
      <c r="F3">
        <v>3</v>
      </c>
      <c r="G3">
        <v>0</v>
      </c>
      <c r="H3" s="68">
        <v>45749</v>
      </c>
      <c r="I3">
        <v>333.36</v>
      </c>
    </row>
    <row r="4" spans="1:10" x14ac:dyDescent="0.3">
      <c r="A4" t="s">
        <v>25</v>
      </c>
      <c r="B4" t="s">
        <v>10</v>
      </c>
      <c r="C4" t="s">
        <v>20</v>
      </c>
      <c r="D4" t="s">
        <v>15</v>
      </c>
      <c r="E4">
        <v>762.14</v>
      </c>
      <c r="F4">
        <v>9</v>
      </c>
      <c r="G4">
        <v>0</v>
      </c>
      <c r="H4" s="68">
        <v>45743</v>
      </c>
      <c r="I4">
        <v>381.07</v>
      </c>
    </row>
    <row r="5" spans="1:10" x14ac:dyDescent="0.3">
      <c r="A5" t="s">
        <v>19</v>
      </c>
      <c r="B5" t="s">
        <v>14</v>
      </c>
      <c r="C5" t="s">
        <v>20</v>
      </c>
      <c r="D5" t="s">
        <v>21</v>
      </c>
      <c r="E5">
        <v>760.93</v>
      </c>
      <c r="F5">
        <v>4</v>
      </c>
      <c r="G5">
        <v>0.15</v>
      </c>
      <c r="H5" s="68">
        <v>45396</v>
      </c>
      <c r="I5">
        <v>161.69999999999999</v>
      </c>
    </row>
    <row r="6" spans="1:10" x14ac:dyDescent="0.3">
      <c r="A6" t="s">
        <v>32</v>
      </c>
      <c r="B6" t="s">
        <v>26</v>
      </c>
      <c r="C6" t="s">
        <v>20</v>
      </c>
      <c r="D6" t="s">
        <v>27</v>
      </c>
      <c r="E6">
        <v>1184.25</v>
      </c>
      <c r="F6">
        <v>11</v>
      </c>
      <c r="G6">
        <v>0.2</v>
      </c>
      <c r="H6" s="68">
        <v>45742</v>
      </c>
      <c r="I6">
        <v>331.59</v>
      </c>
    </row>
    <row r="7" spans="1:10" x14ac:dyDescent="0.3">
      <c r="A7" t="s">
        <v>40</v>
      </c>
      <c r="B7" t="s">
        <v>59</v>
      </c>
      <c r="C7" t="s">
        <v>20</v>
      </c>
      <c r="D7" t="s">
        <v>15</v>
      </c>
      <c r="E7">
        <v>682.24</v>
      </c>
      <c r="F7">
        <v>1</v>
      </c>
      <c r="G7">
        <v>0</v>
      </c>
      <c r="H7" s="68">
        <v>45738</v>
      </c>
      <c r="I7">
        <v>341.12</v>
      </c>
    </row>
    <row r="8" spans="1:10" x14ac:dyDescent="0.3">
      <c r="A8" t="s">
        <v>32</v>
      </c>
      <c r="B8" t="s">
        <v>53</v>
      </c>
      <c r="C8" t="s">
        <v>20</v>
      </c>
      <c r="D8" t="s">
        <v>15</v>
      </c>
      <c r="E8">
        <v>689.43</v>
      </c>
      <c r="F8">
        <v>9</v>
      </c>
      <c r="G8">
        <v>0.1</v>
      </c>
      <c r="H8" s="68">
        <v>45736</v>
      </c>
      <c r="I8">
        <v>310.24</v>
      </c>
    </row>
    <row r="9" spans="1:10" x14ac:dyDescent="0.3">
      <c r="A9" t="s">
        <v>37</v>
      </c>
      <c r="B9" t="s">
        <v>38</v>
      </c>
      <c r="C9" t="s">
        <v>20</v>
      </c>
      <c r="D9" t="s">
        <v>12</v>
      </c>
      <c r="E9">
        <v>1064.19</v>
      </c>
      <c r="F9">
        <v>18</v>
      </c>
      <c r="G9">
        <v>0.05</v>
      </c>
      <c r="H9" s="68">
        <v>45725</v>
      </c>
      <c r="I9">
        <v>404.39</v>
      </c>
    </row>
    <row r="10" spans="1:10" x14ac:dyDescent="0.3">
      <c r="A10" t="s">
        <v>67</v>
      </c>
      <c r="B10" t="s">
        <v>43</v>
      </c>
      <c r="C10" t="s">
        <v>20</v>
      </c>
      <c r="D10" t="s">
        <v>12</v>
      </c>
      <c r="E10">
        <v>704.28</v>
      </c>
      <c r="F10">
        <v>15</v>
      </c>
      <c r="G10">
        <v>0.2</v>
      </c>
      <c r="H10" s="68">
        <v>45712</v>
      </c>
      <c r="I10">
        <v>225.37</v>
      </c>
    </row>
    <row r="11" spans="1:10" x14ac:dyDescent="0.3">
      <c r="A11" t="s">
        <v>72</v>
      </c>
      <c r="B11" t="s">
        <v>31</v>
      </c>
      <c r="C11" t="s">
        <v>20</v>
      </c>
      <c r="D11" t="s">
        <v>39</v>
      </c>
      <c r="E11">
        <v>573.32000000000005</v>
      </c>
      <c r="F11">
        <v>19</v>
      </c>
      <c r="G11">
        <v>0.1</v>
      </c>
      <c r="H11" s="68">
        <v>45703</v>
      </c>
      <c r="I11">
        <v>232.19</v>
      </c>
    </row>
    <row r="12" spans="1:10" x14ac:dyDescent="0.3">
      <c r="A12" t="s">
        <v>40</v>
      </c>
      <c r="B12" t="s">
        <v>17</v>
      </c>
      <c r="C12" t="s">
        <v>20</v>
      </c>
      <c r="D12" t="s">
        <v>15</v>
      </c>
      <c r="E12">
        <v>1118.3399999999999</v>
      </c>
      <c r="F12">
        <v>6</v>
      </c>
      <c r="G12">
        <v>0.2</v>
      </c>
      <c r="H12" s="68">
        <v>45674</v>
      </c>
      <c r="I12">
        <v>447.34</v>
      </c>
    </row>
    <row r="13" spans="1:10" x14ac:dyDescent="0.3">
      <c r="A13" t="s">
        <v>58</v>
      </c>
      <c r="B13" t="s">
        <v>14</v>
      </c>
      <c r="C13" t="s">
        <v>20</v>
      </c>
      <c r="D13" t="s">
        <v>27</v>
      </c>
      <c r="E13">
        <v>1054.56</v>
      </c>
      <c r="F13">
        <v>11</v>
      </c>
      <c r="G13">
        <v>0.1</v>
      </c>
      <c r="H13" s="68">
        <v>45669</v>
      </c>
      <c r="I13">
        <v>332.19</v>
      </c>
    </row>
    <row r="14" spans="1:10" x14ac:dyDescent="0.3">
      <c r="A14" t="s">
        <v>60</v>
      </c>
      <c r="B14" t="s">
        <v>17</v>
      </c>
      <c r="C14" t="s">
        <v>20</v>
      </c>
      <c r="D14" t="s">
        <v>15</v>
      </c>
      <c r="E14">
        <v>870.23</v>
      </c>
      <c r="F14">
        <v>5</v>
      </c>
      <c r="G14">
        <v>0.05</v>
      </c>
      <c r="H14" s="68">
        <v>45660</v>
      </c>
      <c r="I14">
        <v>413.36</v>
      </c>
    </row>
    <row r="15" spans="1:10" x14ac:dyDescent="0.3">
      <c r="A15" t="s">
        <v>65</v>
      </c>
      <c r="B15" t="s">
        <v>61</v>
      </c>
      <c r="C15" t="s">
        <v>20</v>
      </c>
      <c r="D15" t="s">
        <v>27</v>
      </c>
      <c r="E15">
        <v>806.03</v>
      </c>
      <c r="F15">
        <v>19</v>
      </c>
      <c r="G15">
        <v>0.05</v>
      </c>
      <c r="H15" s="68">
        <v>45638</v>
      </c>
      <c r="I15">
        <v>268</v>
      </c>
    </row>
    <row r="16" spans="1:10" x14ac:dyDescent="0.3">
      <c r="A16" t="s">
        <v>75</v>
      </c>
      <c r="B16" t="s">
        <v>45</v>
      </c>
      <c r="C16" t="s">
        <v>20</v>
      </c>
      <c r="D16" t="s">
        <v>21</v>
      </c>
      <c r="E16">
        <v>1061.04</v>
      </c>
      <c r="F16">
        <v>1</v>
      </c>
      <c r="G16">
        <v>0</v>
      </c>
      <c r="H16" s="68">
        <v>45624</v>
      </c>
      <c r="I16">
        <v>265.26</v>
      </c>
    </row>
    <row r="17" spans="1:9" x14ac:dyDescent="0.3">
      <c r="A17" t="s">
        <v>19</v>
      </c>
      <c r="B17" t="s">
        <v>43</v>
      </c>
      <c r="C17" t="s">
        <v>20</v>
      </c>
      <c r="D17" t="s">
        <v>21</v>
      </c>
      <c r="E17">
        <v>1502.93</v>
      </c>
      <c r="F17">
        <v>14</v>
      </c>
      <c r="G17">
        <v>0.2</v>
      </c>
      <c r="H17" s="68">
        <v>45410</v>
      </c>
      <c r="I17">
        <v>300.58999999999997</v>
      </c>
    </row>
    <row r="18" spans="1:9" x14ac:dyDescent="0.3">
      <c r="A18" t="s">
        <v>44</v>
      </c>
      <c r="B18" t="s">
        <v>14</v>
      </c>
      <c r="C18" t="s">
        <v>20</v>
      </c>
      <c r="D18" t="s">
        <v>12</v>
      </c>
      <c r="E18">
        <v>877.58</v>
      </c>
      <c r="F18">
        <v>10</v>
      </c>
      <c r="G18">
        <v>0.15</v>
      </c>
      <c r="H18" s="68">
        <v>45411</v>
      </c>
      <c r="I18">
        <v>298.38</v>
      </c>
    </row>
    <row r="19" spans="1:9" x14ac:dyDescent="0.3">
      <c r="A19" t="s">
        <v>37</v>
      </c>
      <c r="B19" t="s">
        <v>71</v>
      </c>
      <c r="C19" t="s">
        <v>20</v>
      </c>
      <c r="D19" t="s">
        <v>27</v>
      </c>
      <c r="E19">
        <v>853.86</v>
      </c>
      <c r="F19">
        <v>8</v>
      </c>
      <c r="G19">
        <v>0.1</v>
      </c>
      <c r="H19" s="68">
        <v>45622</v>
      </c>
      <c r="I19">
        <v>268.97000000000003</v>
      </c>
    </row>
    <row r="20" spans="1:9" x14ac:dyDescent="0.3">
      <c r="A20" t="s">
        <v>32</v>
      </c>
      <c r="B20" t="s">
        <v>61</v>
      </c>
      <c r="C20" t="s">
        <v>20</v>
      </c>
      <c r="D20" t="s">
        <v>27</v>
      </c>
      <c r="E20">
        <v>1350.33</v>
      </c>
      <c r="F20">
        <v>10</v>
      </c>
      <c r="G20">
        <v>0</v>
      </c>
      <c r="H20" s="68">
        <v>45615</v>
      </c>
      <c r="I20">
        <v>472.62</v>
      </c>
    </row>
    <row r="21" spans="1:9" x14ac:dyDescent="0.3">
      <c r="A21" t="s">
        <v>9</v>
      </c>
      <c r="B21" t="s">
        <v>17</v>
      </c>
      <c r="C21" t="s">
        <v>20</v>
      </c>
      <c r="D21" t="s">
        <v>21</v>
      </c>
      <c r="E21">
        <v>718.04</v>
      </c>
      <c r="F21">
        <v>14</v>
      </c>
      <c r="G21">
        <v>0</v>
      </c>
      <c r="H21" s="68">
        <v>45613</v>
      </c>
      <c r="I21">
        <v>179.51</v>
      </c>
    </row>
    <row r="22" spans="1:9" x14ac:dyDescent="0.3">
      <c r="A22" t="s">
        <v>25</v>
      </c>
      <c r="B22" t="s">
        <v>48</v>
      </c>
      <c r="C22" t="s">
        <v>20</v>
      </c>
      <c r="D22" t="s">
        <v>15</v>
      </c>
      <c r="E22">
        <v>953.3</v>
      </c>
      <c r="F22">
        <v>11</v>
      </c>
      <c r="G22">
        <v>0</v>
      </c>
      <c r="H22" s="68">
        <v>45415</v>
      </c>
      <c r="I22">
        <v>476.65</v>
      </c>
    </row>
    <row r="23" spans="1:9" x14ac:dyDescent="0.3">
      <c r="A23" t="s">
        <v>52</v>
      </c>
      <c r="B23" t="s">
        <v>50</v>
      </c>
      <c r="C23" t="s">
        <v>20</v>
      </c>
      <c r="D23" t="s">
        <v>15</v>
      </c>
      <c r="E23">
        <v>1163.01</v>
      </c>
      <c r="F23">
        <v>5</v>
      </c>
      <c r="G23">
        <v>0</v>
      </c>
      <c r="H23" s="68">
        <v>45611</v>
      </c>
      <c r="I23">
        <v>581.5</v>
      </c>
    </row>
    <row r="24" spans="1:9" x14ac:dyDescent="0.3">
      <c r="A24" t="s">
        <v>32</v>
      </c>
      <c r="B24" t="s">
        <v>38</v>
      </c>
      <c r="C24" t="s">
        <v>20</v>
      </c>
      <c r="D24" t="s">
        <v>21</v>
      </c>
      <c r="E24">
        <v>771.02</v>
      </c>
      <c r="F24">
        <v>1</v>
      </c>
      <c r="G24">
        <v>0</v>
      </c>
      <c r="H24" s="68">
        <v>45585</v>
      </c>
      <c r="I24">
        <v>192.76</v>
      </c>
    </row>
    <row r="25" spans="1:9" x14ac:dyDescent="0.3">
      <c r="A25" t="s">
        <v>37</v>
      </c>
      <c r="B25" t="s">
        <v>64</v>
      </c>
      <c r="C25" t="s">
        <v>20</v>
      </c>
      <c r="D25" t="s">
        <v>12</v>
      </c>
      <c r="E25">
        <v>961.62</v>
      </c>
      <c r="F25">
        <v>8</v>
      </c>
      <c r="G25">
        <v>0.2</v>
      </c>
      <c r="H25" s="68">
        <v>45577</v>
      </c>
      <c r="I25">
        <v>307.72000000000003</v>
      </c>
    </row>
    <row r="26" spans="1:9" x14ac:dyDescent="0.3">
      <c r="A26" t="s">
        <v>68</v>
      </c>
      <c r="B26" t="s">
        <v>17</v>
      </c>
      <c r="C26" t="s">
        <v>20</v>
      </c>
      <c r="D26" t="s">
        <v>12</v>
      </c>
      <c r="E26">
        <v>917.48</v>
      </c>
      <c r="F26">
        <v>6</v>
      </c>
      <c r="G26">
        <v>0</v>
      </c>
      <c r="H26" s="68">
        <v>45558</v>
      </c>
      <c r="I26">
        <v>366.99</v>
      </c>
    </row>
    <row r="27" spans="1:9" x14ac:dyDescent="0.3">
      <c r="A27" t="s">
        <v>35</v>
      </c>
      <c r="B27" t="s">
        <v>50</v>
      </c>
      <c r="C27" t="s">
        <v>20</v>
      </c>
      <c r="D27" t="s">
        <v>21</v>
      </c>
      <c r="E27">
        <v>1173.1199999999999</v>
      </c>
      <c r="F27">
        <v>18</v>
      </c>
      <c r="G27">
        <v>0</v>
      </c>
      <c r="H27" s="68">
        <v>45418</v>
      </c>
      <c r="I27">
        <v>293.27999999999997</v>
      </c>
    </row>
    <row r="28" spans="1:9" x14ac:dyDescent="0.3">
      <c r="A28" t="s">
        <v>75</v>
      </c>
      <c r="B28" t="s">
        <v>47</v>
      </c>
      <c r="C28" t="s">
        <v>20</v>
      </c>
      <c r="D28" t="s">
        <v>12</v>
      </c>
      <c r="E28">
        <v>966.3</v>
      </c>
      <c r="F28">
        <v>2</v>
      </c>
      <c r="G28">
        <v>0.15</v>
      </c>
      <c r="H28" s="68">
        <v>45557</v>
      </c>
      <c r="I28">
        <v>328.54</v>
      </c>
    </row>
    <row r="29" spans="1:9" x14ac:dyDescent="0.3">
      <c r="A29" t="s">
        <v>73</v>
      </c>
      <c r="B29" t="s">
        <v>14</v>
      </c>
      <c r="C29" t="s">
        <v>20</v>
      </c>
      <c r="D29" t="s">
        <v>27</v>
      </c>
      <c r="E29">
        <v>727.73</v>
      </c>
      <c r="F29">
        <v>1</v>
      </c>
      <c r="G29">
        <v>0.1</v>
      </c>
      <c r="H29" s="68">
        <v>45552</v>
      </c>
      <c r="I29">
        <v>229.23</v>
      </c>
    </row>
    <row r="30" spans="1:9" x14ac:dyDescent="0.3">
      <c r="A30" t="s">
        <v>49</v>
      </c>
      <c r="B30" t="s">
        <v>50</v>
      </c>
      <c r="C30" t="s">
        <v>20</v>
      </c>
      <c r="D30" t="s">
        <v>12</v>
      </c>
      <c r="E30">
        <v>1264.49</v>
      </c>
      <c r="F30">
        <v>16</v>
      </c>
      <c r="G30">
        <v>0.05</v>
      </c>
      <c r="H30" s="68">
        <v>45549</v>
      </c>
      <c r="I30">
        <v>480.51</v>
      </c>
    </row>
    <row r="31" spans="1:9" x14ac:dyDescent="0.3">
      <c r="A31" t="s">
        <v>52</v>
      </c>
      <c r="B31" t="s">
        <v>23</v>
      </c>
      <c r="C31" t="s">
        <v>20</v>
      </c>
      <c r="D31" t="s">
        <v>21</v>
      </c>
      <c r="E31">
        <v>801.21</v>
      </c>
      <c r="F31">
        <v>3</v>
      </c>
      <c r="G31">
        <v>0.2</v>
      </c>
      <c r="H31" s="68">
        <v>45426</v>
      </c>
      <c r="I31">
        <v>160.24</v>
      </c>
    </row>
    <row r="32" spans="1:9" x14ac:dyDescent="0.3">
      <c r="A32" t="s">
        <v>67</v>
      </c>
      <c r="B32" t="s">
        <v>10</v>
      </c>
      <c r="C32" t="s">
        <v>20</v>
      </c>
      <c r="D32" t="s">
        <v>21</v>
      </c>
      <c r="E32">
        <v>1335.87</v>
      </c>
      <c r="F32">
        <v>17</v>
      </c>
      <c r="G32">
        <v>0</v>
      </c>
      <c r="H32" s="68">
        <v>45544</v>
      </c>
      <c r="I32">
        <v>333.97</v>
      </c>
    </row>
    <row r="33" spans="1:9" x14ac:dyDescent="0.3">
      <c r="A33" t="s">
        <v>13</v>
      </c>
      <c r="B33" t="s">
        <v>71</v>
      </c>
      <c r="C33" t="s">
        <v>20</v>
      </c>
      <c r="D33" t="s">
        <v>12</v>
      </c>
      <c r="E33">
        <v>804.45</v>
      </c>
      <c r="F33">
        <v>5</v>
      </c>
      <c r="G33">
        <v>0.2</v>
      </c>
      <c r="H33" s="68">
        <v>45509</v>
      </c>
      <c r="I33">
        <v>257.42</v>
      </c>
    </row>
    <row r="34" spans="1:9" x14ac:dyDescent="0.3">
      <c r="A34" t="s">
        <v>68</v>
      </c>
      <c r="B34" t="s">
        <v>69</v>
      </c>
      <c r="C34" t="s">
        <v>20</v>
      </c>
      <c r="D34" t="s">
        <v>39</v>
      </c>
      <c r="E34">
        <v>981.2</v>
      </c>
      <c r="F34">
        <v>19</v>
      </c>
      <c r="G34">
        <v>0</v>
      </c>
      <c r="H34" s="68">
        <v>45504</v>
      </c>
      <c r="I34">
        <v>441.54</v>
      </c>
    </row>
    <row r="35" spans="1:9" x14ac:dyDescent="0.3">
      <c r="A35" t="s">
        <v>57</v>
      </c>
      <c r="B35" t="s">
        <v>43</v>
      </c>
      <c r="C35" t="s">
        <v>20</v>
      </c>
      <c r="D35" t="s">
        <v>21</v>
      </c>
      <c r="E35">
        <v>967.89</v>
      </c>
      <c r="F35">
        <v>10</v>
      </c>
      <c r="G35">
        <v>0.1</v>
      </c>
      <c r="H35" s="68">
        <v>45429</v>
      </c>
      <c r="I35">
        <v>217.78</v>
      </c>
    </row>
    <row r="36" spans="1:9" x14ac:dyDescent="0.3">
      <c r="A36" t="s">
        <v>65</v>
      </c>
      <c r="B36" t="s">
        <v>31</v>
      </c>
      <c r="C36" t="s">
        <v>20</v>
      </c>
      <c r="D36" t="s">
        <v>12</v>
      </c>
      <c r="E36">
        <v>876.44</v>
      </c>
      <c r="F36">
        <v>12</v>
      </c>
      <c r="G36">
        <v>0.05</v>
      </c>
      <c r="H36" s="68">
        <v>45488</v>
      </c>
      <c r="I36">
        <v>333.05</v>
      </c>
    </row>
    <row r="37" spans="1:9" x14ac:dyDescent="0.3">
      <c r="A37" t="s">
        <v>41</v>
      </c>
      <c r="B37" t="s">
        <v>61</v>
      </c>
      <c r="C37" t="s">
        <v>20</v>
      </c>
      <c r="D37" t="s">
        <v>21</v>
      </c>
      <c r="E37">
        <v>1100.0999999999999</v>
      </c>
      <c r="F37">
        <v>5</v>
      </c>
      <c r="G37">
        <v>0.05</v>
      </c>
      <c r="H37" s="68">
        <v>45482</v>
      </c>
      <c r="I37">
        <v>261.27</v>
      </c>
    </row>
    <row r="38" spans="1:9" x14ac:dyDescent="0.3">
      <c r="A38" t="s">
        <v>19</v>
      </c>
      <c r="B38" t="s">
        <v>14</v>
      </c>
      <c r="C38" t="s">
        <v>20</v>
      </c>
      <c r="D38" t="s">
        <v>27</v>
      </c>
      <c r="E38">
        <v>919.04</v>
      </c>
      <c r="F38">
        <v>10</v>
      </c>
      <c r="G38">
        <v>0.2</v>
      </c>
      <c r="H38" s="68">
        <v>45468</v>
      </c>
      <c r="I38">
        <v>257.33</v>
      </c>
    </row>
    <row r="39" spans="1:9" x14ac:dyDescent="0.3">
      <c r="A39" t="s">
        <v>22</v>
      </c>
      <c r="B39" t="s">
        <v>64</v>
      </c>
      <c r="C39" t="s">
        <v>20</v>
      </c>
      <c r="D39" t="s">
        <v>27</v>
      </c>
      <c r="E39">
        <v>1086.93</v>
      </c>
      <c r="F39">
        <v>2</v>
      </c>
      <c r="G39">
        <v>0</v>
      </c>
      <c r="H39" s="68">
        <v>45464</v>
      </c>
      <c r="I39">
        <v>380.43</v>
      </c>
    </row>
    <row r="40" spans="1:9" x14ac:dyDescent="0.3">
      <c r="A40" t="s">
        <v>58</v>
      </c>
      <c r="B40" t="s">
        <v>23</v>
      </c>
      <c r="C40" t="s">
        <v>20</v>
      </c>
      <c r="D40" t="s">
        <v>15</v>
      </c>
      <c r="E40">
        <v>1226.6199999999999</v>
      </c>
      <c r="F40">
        <v>7</v>
      </c>
      <c r="G40">
        <v>0.1</v>
      </c>
      <c r="H40" s="68">
        <v>45463</v>
      </c>
      <c r="I40">
        <v>551.98</v>
      </c>
    </row>
    <row r="41" spans="1:9" x14ac:dyDescent="0.3">
      <c r="A41" t="s">
        <v>25</v>
      </c>
      <c r="B41" t="s">
        <v>33</v>
      </c>
      <c r="C41" t="s">
        <v>20</v>
      </c>
      <c r="D41" t="s">
        <v>21</v>
      </c>
      <c r="E41">
        <v>1021.47</v>
      </c>
      <c r="F41">
        <v>6</v>
      </c>
      <c r="G41">
        <v>0.05</v>
      </c>
      <c r="H41" s="68">
        <v>45461</v>
      </c>
      <c r="I41">
        <v>242.6</v>
      </c>
    </row>
    <row r="42" spans="1:9" x14ac:dyDescent="0.3">
      <c r="A42" t="s">
        <v>19</v>
      </c>
      <c r="B42" t="s">
        <v>42</v>
      </c>
      <c r="C42" t="s">
        <v>20</v>
      </c>
      <c r="D42" t="s">
        <v>12</v>
      </c>
      <c r="E42">
        <v>1151.21</v>
      </c>
      <c r="F42">
        <v>15</v>
      </c>
      <c r="G42">
        <v>0.1</v>
      </c>
      <c r="H42" s="68">
        <v>45445</v>
      </c>
      <c r="I42">
        <v>414.44</v>
      </c>
    </row>
    <row r="43" spans="1:9" x14ac:dyDescent="0.3">
      <c r="A43" t="s">
        <v>44</v>
      </c>
      <c r="B43" t="s">
        <v>51</v>
      </c>
      <c r="C43" t="s">
        <v>20</v>
      </c>
      <c r="D43" t="s">
        <v>21</v>
      </c>
      <c r="E43">
        <v>775.45</v>
      </c>
      <c r="F43">
        <v>6</v>
      </c>
      <c r="G43">
        <v>0.1</v>
      </c>
      <c r="H43" s="68">
        <v>45457</v>
      </c>
      <c r="I43">
        <v>174.48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0150-2FDF-4DF5-893D-2F95C1897DDF}">
  <dimension ref="A1:AG202"/>
  <sheetViews>
    <sheetView topLeftCell="Q1" zoomScale="73" zoomScaleNormal="32" workbookViewId="0">
      <selection activeCell="Y26" sqref="Y26"/>
    </sheetView>
  </sheetViews>
  <sheetFormatPr defaultRowHeight="14.4" x14ac:dyDescent="0.3"/>
  <cols>
    <col min="1" max="1" width="15.21875" customWidth="1"/>
    <col min="2" max="2" width="17.44140625" customWidth="1"/>
    <col min="4" max="4" width="17.5546875" customWidth="1"/>
    <col min="5" max="5" width="13.5546875" bestFit="1" customWidth="1"/>
    <col min="7" max="7" width="12.44140625" bestFit="1" customWidth="1"/>
    <col min="8" max="8" width="13.5546875" bestFit="1" customWidth="1"/>
    <col min="10" max="10" width="16.6640625" customWidth="1"/>
    <col min="11" max="11" width="12" customWidth="1"/>
    <col min="12" max="12" width="12.5546875" customWidth="1"/>
    <col min="13" max="13" width="11.33203125" customWidth="1"/>
    <col min="14" max="14" width="12" bestFit="1" customWidth="1"/>
    <col min="15" max="15" width="12.5546875" customWidth="1"/>
    <col min="16" max="16" width="9.88671875" customWidth="1"/>
    <col min="17" max="17" width="11.109375" customWidth="1"/>
    <col min="18" max="18" width="11.88671875" customWidth="1"/>
    <col min="22" max="22" width="9.44140625" bestFit="1" customWidth="1"/>
    <col min="23" max="23" width="9" bestFit="1" customWidth="1"/>
    <col min="24" max="24" width="8.5546875" customWidth="1"/>
    <col min="25" max="25" width="10.6640625" customWidth="1"/>
    <col min="26" max="26" width="11.5546875" customWidth="1"/>
    <col min="27" max="27" width="12.77734375" customWidth="1"/>
    <col min="29" max="29" width="14.21875" customWidth="1"/>
    <col min="30" max="30" width="10.21875" customWidth="1"/>
    <col min="32" max="33" width="8.88671875" customWidth="1"/>
  </cols>
  <sheetData>
    <row r="1" spans="1:33" ht="51" customHeight="1" thickBot="1" x14ac:dyDescent="0.35">
      <c r="A1" s="89" t="s">
        <v>77</v>
      </c>
      <c r="B1" s="90"/>
      <c r="D1" s="53" t="s">
        <v>83</v>
      </c>
      <c r="E1" s="54"/>
      <c r="G1" s="55" t="s">
        <v>85</v>
      </c>
      <c r="H1" s="56"/>
      <c r="J1" s="57" t="s">
        <v>110</v>
      </c>
      <c r="K1" s="58"/>
      <c r="L1" s="58"/>
      <c r="M1" s="58"/>
      <c r="N1" s="58"/>
      <c r="O1" s="58"/>
      <c r="P1" s="58"/>
      <c r="Q1" s="58"/>
      <c r="R1" s="58"/>
      <c r="S1" s="59"/>
      <c r="V1" s="46" t="s">
        <v>128</v>
      </c>
      <c r="W1" s="47"/>
      <c r="Y1" s="48" t="s">
        <v>132</v>
      </c>
      <c r="Z1" s="49"/>
      <c r="AA1" s="50"/>
      <c r="AC1" s="51" t="s">
        <v>135</v>
      </c>
      <c r="AD1" s="51"/>
    </row>
    <row r="2" spans="1:33" ht="15" thickBot="1" x14ac:dyDescent="0.35">
      <c r="A2" s="33" t="s">
        <v>0</v>
      </c>
      <c r="B2" s="28" t="s">
        <v>76</v>
      </c>
      <c r="D2" s="27" t="s">
        <v>78</v>
      </c>
      <c r="E2" s="28" t="s">
        <v>84</v>
      </c>
      <c r="G2" s="32" t="s">
        <v>8</v>
      </c>
      <c r="H2" s="32" t="s">
        <v>4</v>
      </c>
      <c r="J2" s="10"/>
      <c r="K2" s="11"/>
      <c r="L2" s="11"/>
      <c r="M2" s="11"/>
      <c r="N2" s="11"/>
      <c r="O2" s="11"/>
      <c r="P2" s="11"/>
      <c r="Q2" s="11"/>
      <c r="R2" s="11"/>
      <c r="S2" s="12"/>
      <c r="V2" s="36" t="s">
        <v>4</v>
      </c>
      <c r="W2" s="37" t="s">
        <v>8</v>
      </c>
      <c r="Y2" s="36" t="s">
        <v>129</v>
      </c>
      <c r="Z2" s="36" t="s">
        <v>130</v>
      </c>
      <c r="AA2" s="36" t="s">
        <v>131</v>
      </c>
      <c r="AC2" s="36" t="s">
        <v>134</v>
      </c>
      <c r="AD2" s="36" t="s">
        <v>130</v>
      </c>
      <c r="AF2" s="27" t="s">
        <v>136</v>
      </c>
      <c r="AG2" s="27" t="s">
        <v>137</v>
      </c>
    </row>
    <row r="3" spans="1:33" ht="15" thickBot="1" x14ac:dyDescent="0.35">
      <c r="A3" s="34" t="s">
        <v>9</v>
      </c>
      <c r="B3" s="15">
        <f>SUMIF(Sales_Data!$A$2:$A$201,A3,Sales_Data!$E$2:$E$201)</f>
        <v>4640.1099999999997</v>
      </c>
      <c r="D3" s="13" t="s">
        <v>4</v>
      </c>
      <c r="E3" s="29">
        <v>1036.0899999999999</v>
      </c>
      <c r="G3" s="2">
        <v>331.55</v>
      </c>
      <c r="H3" s="2">
        <v>1036.0899999999999</v>
      </c>
      <c r="J3" s="13" t="s">
        <v>86</v>
      </c>
      <c r="K3" s="14"/>
      <c r="L3" s="14"/>
      <c r="M3" s="14"/>
      <c r="N3" s="14"/>
      <c r="O3" s="14"/>
      <c r="P3" s="14"/>
      <c r="Q3" s="14"/>
      <c r="R3" s="14"/>
      <c r="S3" s="15"/>
      <c r="V3" s="38">
        <f>Sales_Data!E2</f>
        <v>1036.0899999999999</v>
      </c>
      <c r="W3" s="38">
        <f>Sales_Data!I2</f>
        <v>331.55</v>
      </c>
      <c r="Y3" s="39">
        <f>DATE(YEAR(MIN(Sales_Data!H6:H205)),MONTH(MIN(Sales_Data!H6:H205)),1)</f>
        <v>45383</v>
      </c>
      <c r="Z3" s="11">
        <f>SUMIFS(Sales_Data!$E$2:$E$201,Sales_Data!$H$2:$H$201,"&gt;="&amp;Y3,Sales_Data!$H$2:$H$201,"&lt;"&amp;EDATE(Y3,1))</f>
        <v>19029.96</v>
      </c>
      <c r="AA3" s="40">
        <f>IFERROR((Z3-Z2)/Z2,0)</f>
        <v>0</v>
      </c>
      <c r="AC3" s="10" t="str" cm="1">
        <f t="array" ref="AC3:AC29">_xlfn.UNIQUE(Sales_Data!B2:B201)</f>
        <v>James Davis</v>
      </c>
      <c r="AD3" s="12">
        <f>SUMIF(Sales_Data!$B$2:$B$201,AC2,Sales_Data!$E$2:$E$201)</f>
        <v>0</v>
      </c>
      <c r="AF3" t="str">
        <f>INDEX($A$3:$A$29,MATCH(LARGE($B$3:$B$29,ROWS($1:1)),$B$3:$B$29,0))</f>
        <v>CUST007</v>
      </c>
      <c r="AG3">
        <f>LARGE($B$3:$B$29,ROWS($1:1))</f>
        <v>9941.8799999999992</v>
      </c>
    </row>
    <row r="4" spans="1:33" ht="15" thickBot="1" x14ac:dyDescent="0.35">
      <c r="A4" s="34" t="s">
        <v>13</v>
      </c>
      <c r="B4" s="15">
        <f>SUMIF(Sales_Data!$A$2:$A$201,A4,Sales_Data!$E$2:$E$201)</f>
        <v>8339</v>
      </c>
      <c r="D4" s="13" t="s">
        <v>79</v>
      </c>
      <c r="E4" s="30">
        <v>0.2</v>
      </c>
      <c r="G4" s="2">
        <v>440.51</v>
      </c>
      <c r="H4" s="2">
        <v>1101.28</v>
      </c>
      <c r="J4" s="13"/>
      <c r="K4" s="14"/>
      <c r="L4" s="14"/>
      <c r="M4" s="14"/>
      <c r="N4" s="14"/>
      <c r="O4" s="14"/>
      <c r="P4" s="14"/>
      <c r="Q4" s="14"/>
      <c r="R4" s="14"/>
      <c r="S4" s="15"/>
      <c r="V4" s="38">
        <f>Sales_Data!E3</f>
        <v>1101.28</v>
      </c>
      <c r="W4" s="38">
        <f>Sales_Data!I3</f>
        <v>440.51</v>
      </c>
      <c r="Y4" s="41">
        <f>EDATE(Y3,1)</f>
        <v>45413</v>
      </c>
      <c r="Z4" s="14">
        <f>SUMIFS(Sales_Data!$E$2:$E$201,Sales_Data!$H$2:$H$201,"&gt;="&amp;Y4,Sales_Data!$H$2:$H$201,"&lt;"&amp;EDATE(Y4,1))</f>
        <v>18507.339999999997</v>
      </c>
      <c r="AA4" s="42">
        <f t="shared" ref="AA4:AA15" si="0">IFERROR((Z4-Z3)/Z3,0)</f>
        <v>-2.7463010957458799E-2</v>
      </c>
      <c r="AC4" s="13" t="str">
        <v>Robert Anderson</v>
      </c>
      <c r="AD4" s="15">
        <f>SUMIF(Sales_Data!$B$2:$B$201,AC3,Sales_Data!$E$2:$E$201)</f>
        <v>6255.7</v>
      </c>
    </row>
    <row r="5" spans="1:33" ht="15" thickBot="1" x14ac:dyDescent="0.35">
      <c r="A5" s="34" t="s">
        <v>16</v>
      </c>
      <c r="B5" s="15">
        <f>SUMIF(Sales_Data!$A$2:$A$201,A5,Sales_Data!$E$2:$E$201)</f>
        <v>3419.2</v>
      </c>
      <c r="D5" s="13" t="s">
        <v>80</v>
      </c>
      <c r="E5" s="30">
        <v>0.1</v>
      </c>
      <c r="G5" s="2">
        <v>285.33999999999997</v>
      </c>
      <c r="H5" s="2">
        <v>713.34</v>
      </c>
      <c r="J5" s="16" t="s">
        <v>87</v>
      </c>
      <c r="K5" s="9"/>
      <c r="L5" s="14"/>
      <c r="M5" s="14"/>
      <c r="N5" s="14"/>
      <c r="O5" s="14"/>
      <c r="P5" s="14"/>
      <c r="Q5" s="14"/>
      <c r="R5" s="14"/>
      <c r="S5" s="15"/>
      <c r="V5" s="38">
        <f>Sales_Data!E4</f>
        <v>713.34</v>
      </c>
      <c r="W5" s="38">
        <f>Sales_Data!I4</f>
        <v>285.33999999999997</v>
      </c>
      <c r="Y5" s="41">
        <f t="shared" ref="Y5:Y15" si="1">EDATE(Y4,1)</f>
        <v>45444</v>
      </c>
      <c r="Z5" s="14">
        <f>SUMIFS(Sales_Data!$E$2:$E$201,Sales_Data!$H$2:$H$201,"&gt;="&amp;Y5,Sales_Data!$H$2:$H$201,"&lt;"&amp;EDATE(Y5,1))</f>
        <v>20187.509999999998</v>
      </c>
      <c r="AA5" s="42">
        <f t="shared" si="0"/>
        <v>9.0783980842195702E-2</v>
      </c>
      <c r="AC5" s="13" t="str">
        <v>James Taylor</v>
      </c>
      <c r="AD5" s="15">
        <f>SUMIF(Sales_Data!$B$2:$B$201,AC4,Sales_Data!$E$2:$E$201)</f>
        <v>8331.8499999999985</v>
      </c>
      <c r="AF5" s="52" t="s">
        <v>138</v>
      </c>
      <c r="AG5" s="52"/>
    </row>
    <row r="6" spans="1:33" ht="15" thickBot="1" x14ac:dyDescent="0.35">
      <c r="A6" s="34" t="s">
        <v>19</v>
      </c>
      <c r="B6" s="15">
        <f>SUMIF(Sales_Data!$A$2:$A$201,A6,Sales_Data!$E$2:$E$201)</f>
        <v>6666.130000000001</v>
      </c>
      <c r="D6" s="13" t="s">
        <v>81</v>
      </c>
      <c r="E6" s="29">
        <v>331.55</v>
      </c>
      <c r="G6" s="2">
        <v>161.69999999999999</v>
      </c>
      <c r="H6" s="2">
        <v>760.93</v>
      </c>
      <c r="J6" s="17" t="s">
        <v>88</v>
      </c>
      <c r="K6" s="6">
        <v>0.77340306414342619</v>
      </c>
      <c r="L6" s="14"/>
      <c r="M6" s="14"/>
      <c r="N6" s="14"/>
      <c r="O6" s="14"/>
      <c r="P6" s="14"/>
      <c r="Q6" s="14"/>
      <c r="R6" s="14"/>
      <c r="S6" s="15"/>
      <c r="V6" s="38">
        <f>Sales_Data!E5</f>
        <v>760.93</v>
      </c>
      <c r="W6" s="38">
        <f>Sales_Data!I5</f>
        <v>161.69999999999999</v>
      </c>
      <c r="Y6" s="41">
        <f t="shared" si="1"/>
        <v>45474</v>
      </c>
      <c r="Z6" s="14">
        <f>SUMIFS(Sales_Data!$E$2:$E$201,Sales_Data!$H$2:$H$201,"&gt;="&amp;Y6,Sales_Data!$H$2:$H$201,"&lt;"&amp;EDATE(Y6,1))</f>
        <v>11609.039999999999</v>
      </c>
      <c r="AA6" s="42">
        <f t="shared" si="0"/>
        <v>-0.42493947990614001</v>
      </c>
      <c r="AC6" s="13" t="str">
        <v>James Wilson</v>
      </c>
      <c r="AD6" s="15">
        <f>SUMIF(Sales_Data!$B$2:$B$201,AC5,Sales_Data!$E$2:$E$201)</f>
        <v>5615.2800000000007</v>
      </c>
      <c r="AF6" t="str" cm="1">
        <f t="array" ref="AF6:AG13">_xlfn._xlws.FILTER(A3:B29,B3:B29&gt;8000,"No Customers Found")</f>
        <v>CUST012</v>
      </c>
      <c r="AG6">
        <v>8339</v>
      </c>
    </row>
    <row r="7" spans="1:33" ht="15" thickBot="1" x14ac:dyDescent="0.35">
      <c r="A7" s="34" t="s">
        <v>22</v>
      </c>
      <c r="B7" s="15">
        <f>SUMIF(Sales_Data!$A$2:$A$201,A7,Sales_Data!$E$2:$E$201)</f>
        <v>7928.71</v>
      </c>
      <c r="D7" s="20" t="s">
        <v>82</v>
      </c>
      <c r="E7" s="31">
        <f>E6+(E4-E5)*E3</f>
        <v>435.15899999999999</v>
      </c>
      <c r="G7" s="2">
        <v>271.04000000000002</v>
      </c>
      <c r="H7" s="2">
        <v>847</v>
      </c>
      <c r="J7" s="17" t="s">
        <v>89</v>
      </c>
      <c r="K7" s="6">
        <v>0.59815229962644056</v>
      </c>
      <c r="L7" s="14"/>
      <c r="M7" s="14"/>
      <c r="N7" s="14"/>
      <c r="O7" s="14"/>
      <c r="P7" s="14"/>
      <c r="Q7" s="14"/>
      <c r="R7" s="14"/>
      <c r="S7" s="15"/>
      <c r="V7" s="38">
        <f>Sales_Data!E6</f>
        <v>847</v>
      </c>
      <c r="W7" s="38">
        <f>Sales_Data!I6</f>
        <v>271.04000000000002</v>
      </c>
      <c r="Y7" s="41">
        <f t="shared" si="1"/>
        <v>45505</v>
      </c>
      <c r="Z7" s="14">
        <f>SUMIFS(Sales_Data!$E$2:$E$201,Sales_Data!$H$2:$H$201,"&gt;="&amp;Y7,Sales_Data!$H$2:$H$201,"&lt;"&amp;EDATE(Y7,1))</f>
        <v>10091.699999999999</v>
      </c>
      <c r="AA7" s="42">
        <f t="shared" si="0"/>
        <v>-0.13070331396911375</v>
      </c>
      <c r="AC7" s="13" t="str">
        <v>Michael Anderson</v>
      </c>
      <c r="AD7" s="15">
        <f>SUMIF(Sales_Data!$B$2:$B$201,AC6,Sales_Data!$E$2:$E$201)</f>
        <v>20774.739999999998</v>
      </c>
      <c r="AF7" t="str">
        <v>CUST007</v>
      </c>
      <c r="AG7">
        <v>9941.8799999999992</v>
      </c>
    </row>
    <row r="8" spans="1:33" ht="15" thickBot="1" x14ac:dyDescent="0.35">
      <c r="A8" s="34" t="s">
        <v>25</v>
      </c>
      <c r="B8" s="15">
        <f>SUMIF(Sales_Data!$A$2:$A$201,A8,Sales_Data!$E$2:$E$201)</f>
        <v>9941.8799999999992</v>
      </c>
      <c r="G8" s="2">
        <v>304.18</v>
      </c>
      <c r="H8" s="2">
        <v>965.64</v>
      </c>
      <c r="J8" s="17" t="s">
        <v>90</v>
      </c>
      <c r="K8" s="6">
        <v>0.59612276578617007</v>
      </c>
      <c r="L8" s="14"/>
      <c r="M8" s="14"/>
      <c r="N8" s="14"/>
      <c r="O8" s="14"/>
      <c r="P8" s="14"/>
      <c r="Q8" s="14"/>
      <c r="R8" s="14"/>
      <c r="S8" s="15"/>
      <c r="V8" s="38">
        <f>Sales_Data!E7</f>
        <v>965.64</v>
      </c>
      <c r="W8" s="38">
        <f>Sales_Data!I7</f>
        <v>304.18</v>
      </c>
      <c r="Y8" s="41">
        <f t="shared" si="1"/>
        <v>45536</v>
      </c>
      <c r="Z8" s="14">
        <f>SUMIFS(Sales_Data!$E$2:$E$201,Sales_Data!$H$2:$H$201,"&gt;="&amp;Y8,Sales_Data!$H$2:$H$201,"&lt;"&amp;EDATE(Y8,1))</f>
        <v>20533.499999999996</v>
      </c>
      <c r="AA8" s="42">
        <f t="shared" si="0"/>
        <v>1.0346918755016496</v>
      </c>
      <c r="AC8" s="13" t="str">
        <v>Linda Wilson</v>
      </c>
      <c r="AD8" s="15">
        <f>SUMIF(Sales_Data!$B$2:$B$201,AC7,Sales_Data!$E$2:$E$201)</f>
        <v>7881.9</v>
      </c>
      <c r="AF8" t="str">
        <v>CUST026</v>
      </c>
      <c r="AG8">
        <v>9371.81</v>
      </c>
    </row>
    <row r="9" spans="1:33" ht="15" thickBot="1" x14ac:dyDescent="0.35">
      <c r="A9" s="34" t="s">
        <v>28</v>
      </c>
      <c r="B9" s="15">
        <f>SUMIF(Sales_Data!$A$2:$A$201,A9,Sales_Data!$E$2:$E$201)</f>
        <v>6549.55</v>
      </c>
      <c r="G9" s="2">
        <v>312.91000000000003</v>
      </c>
      <c r="H9" s="2">
        <v>1317.53</v>
      </c>
      <c r="J9" s="17" t="s">
        <v>91</v>
      </c>
      <c r="K9" s="6">
        <v>86.281230529665166</v>
      </c>
      <c r="L9" s="14"/>
      <c r="M9" s="14"/>
      <c r="N9" s="14"/>
      <c r="O9" s="14"/>
      <c r="P9" s="14"/>
      <c r="Q9" s="14"/>
      <c r="R9" s="14"/>
      <c r="S9" s="15"/>
      <c r="V9" s="38">
        <f>Sales_Data!E8</f>
        <v>1317.53</v>
      </c>
      <c r="W9" s="38">
        <f>Sales_Data!I8</f>
        <v>312.91000000000003</v>
      </c>
      <c r="Y9" s="41">
        <f t="shared" si="1"/>
        <v>45566</v>
      </c>
      <c r="Z9" s="14">
        <f>SUMIFS(Sales_Data!$E$2:$E$201,Sales_Data!$H$2:$H$201,"&gt;="&amp;Y9,Sales_Data!$H$2:$H$201,"&lt;"&amp;EDATE(Y9,1))</f>
        <v>14215.240000000002</v>
      </c>
      <c r="AA9" s="42">
        <f t="shared" si="0"/>
        <v>-0.30770496992719193</v>
      </c>
      <c r="AC9" s="13" t="str">
        <v>Mary Davis</v>
      </c>
      <c r="AD9" s="15">
        <f>SUMIF(Sales_Data!$B$2:$B$201,AC8,Sales_Data!$E$2:$E$201)</f>
        <v>9970.1999999999989</v>
      </c>
      <c r="AF9" t="str">
        <v>CUST007</v>
      </c>
      <c r="AG9">
        <v>9941.8799999999992</v>
      </c>
    </row>
    <row r="10" spans="1:33" ht="15" thickBot="1" x14ac:dyDescent="0.35">
      <c r="A10" s="34" t="s">
        <v>30</v>
      </c>
      <c r="B10" s="15">
        <f>SUMIF(Sales_Data!$A$2:$A$201,A10,Sales_Data!$E$2:$E$201)</f>
        <v>9371.81</v>
      </c>
      <c r="G10" s="2">
        <v>300.85000000000002</v>
      </c>
      <c r="H10" s="2">
        <v>1074.47</v>
      </c>
      <c r="J10" s="18" t="s">
        <v>92</v>
      </c>
      <c r="K10" s="7">
        <v>200</v>
      </c>
      <c r="L10" s="14"/>
      <c r="M10" s="14"/>
      <c r="N10" s="14"/>
      <c r="O10" s="14"/>
      <c r="P10" s="14"/>
      <c r="Q10" s="14"/>
      <c r="R10" s="14"/>
      <c r="S10" s="15"/>
      <c r="V10" s="38">
        <f>Sales_Data!E9</f>
        <v>1074.47</v>
      </c>
      <c r="W10" s="38">
        <f>Sales_Data!I9</f>
        <v>300.85000000000002</v>
      </c>
      <c r="Y10" s="41">
        <f t="shared" si="1"/>
        <v>45597</v>
      </c>
      <c r="Z10" s="14">
        <f>SUMIFS(Sales_Data!$E$2:$E$201,Sales_Data!$H$2:$H$201,"&gt;="&amp;Y10,Sales_Data!$H$2:$H$201,"&lt;"&amp;EDATE(Y10,1))</f>
        <v>20135.030000000002</v>
      </c>
      <c r="AA10" s="42">
        <f t="shared" si="0"/>
        <v>0.4164396802305132</v>
      </c>
      <c r="AC10" s="13" t="str">
        <v>Linda Jackson</v>
      </c>
      <c r="AD10" s="15">
        <f>SUMIF(Sales_Data!$B$2:$B$201,AC9,Sales_Data!$E$2:$E$201)</f>
        <v>17143.289999999997</v>
      </c>
      <c r="AF10" t="str">
        <v>CUST008</v>
      </c>
      <c r="AG10">
        <v>9760.7999999999993</v>
      </c>
    </row>
    <row r="11" spans="1:33" ht="15" thickBot="1" x14ac:dyDescent="0.35">
      <c r="A11" s="34" t="s">
        <v>32</v>
      </c>
      <c r="B11" s="15">
        <f>SUMIF(Sales_Data!$A$2:$A$201,A11,Sales_Data!$E$2:$E$201)</f>
        <v>6505.2</v>
      </c>
      <c r="G11" s="2">
        <v>190.59</v>
      </c>
      <c r="H11" s="2">
        <v>501.54</v>
      </c>
      <c r="J11" s="13"/>
      <c r="K11" s="14"/>
      <c r="L11" s="14"/>
      <c r="M11" s="14"/>
      <c r="N11" s="14"/>
      <c r="O11" s="14"/>
      <c r="P11" s="14"/>
      <c r="Q11" s="14"/>
      <c r="R11" s="14"/>
      <c r="S11" s="15"/>
      <c r="V11" s="38">
        <f>Sales_Data!E10</f>
        <v>501.54</v>
      </c>
      <c r="W11" s="38">
        <f>Sales_Data!I10</f>
        <v>190.59</v>
      </c>
      <c r="Y11" s="41">
        <f t="shared" si="1"/>
        <v>45627</v>
      </c>
      <c r="Z11" s="14">
        <f>SUMIFS(Sales_Data!$E$2:$E$201,Sales_Data!$H$2:$H$201,"&gt;="&amp;Y11,Sales_Data!$H$2:$H$201,"&lt;"&amp;EDATE(Y11,1))</f>
        <v>11120.04</v>
      </c>
      <c r="AA11" s="42">
        <f>IFERROR((Z11-Z10)/Z10,0)</f>
        <v>-0.44772667336477773</v>
      </c>
      <c r="AC11" s="13" t="str">
        <v>David Thomas</v>
      </c>
      <c r="AD11" s="15">
        <f>SUMIF(Sales_Data!$B$2:$B$201,AC10,Sales_Data!$E$2:$E$201)</f>
        <v>3968.59</v>
      </c>
      <c r="AF11" t="str">
        <v>CUST026</v>
      </c>
      <c r="AG11">
        <v>9371.81</v>
      </c>
    </row>
    <row r="12" spans="1:33" ht="15" thickBot="1" x14ac:dyDescent="0.35">
      <c r="A12" s="34" t="s">
        <v>35</v>
      </c>
      <c r="B12" s="15">
        <f>SUMIF(Sales_Data!$A$2:$A$201,A12,Sales_Data!$E$2:$E$201)</f>
        <v>4259.22</v>
      </c>
      <c r="F12" s="5"/>
      <c r="G12" s="2">
        <v>350.22</v>
      </c>
      <c r="H12" s="2">
        <v>737.31</v>
      </c>
      <c r="J12" s="13" t="s">
        <v>93</v>
      </c>
      <c r="K12" s="14"/>
      <c r="L12" s="14"/>
      <c r="M12" s="14"/>
      <c r="N12" s="14"/>
      <c r="O12" s="14"/>
      <c r="P12" s="14"/>
      <c r="Q12" s="14"/>
      <c r="R12" s="14"/>
      <c r="S12" s="15"/>
      <c r="V12" s="38">
        <f>Sales_Data!E11</f>
        <v>737.31</v>
      </c>
      <c r="W12" s="38">
        <f>Sales_Data!I11</f>
        <v>350.22</v>
      </c>
      <c r="Y12" s="41">
        <f t="shared" si="1"/>
        <v>45658</v>
      </c>
      <c r="Z12" s="14">
        <f>SUMIFS(Sales_Data!$E$2:$E$201,Sales_Data!$H$2:$H$201,"&gt;="&amp;Y12,Sales_Data!$H$2:$H$201,"&lt;"&amp;EDATE(Y12,1))</f>
        <v>14914.650000000001</v>
      </c>
      <c r="AA12" s="42">
        <f t="shared" si="0"/>
        <v>0.34124067899036337</v>
      </c>
      <c r="AC12" s="13" t="str">
        <v>Emma Davis</v>
      </c>
      <c r="AD12" s="15">
        <f>SUMIF(Sales_Data!$B$2:$B$201,AC11,Sales_Data!$E$2:$E$201)</f>
        <v>7020.3799999999992</v>
      </c>
      <c r="AF12" t="str">
        <v>CUST007</v>
      </c>
      <c r="AG12">
        <v>9941.8799999999992</v>
      </c>
    </row>
    <row r="13" spans="1:33" ht="15" thickBot="1" x14ac:dyDescent="0.35">
      <c r="A13" s="34" t="s">
        <v>37</v>
      </c>
      <c r="B13" s="15">
        <f>SUMIF(Sales_Data!$A$2:$A$201,A13,Sales_Data!$E$2:$E$201)</f>
        <v>6729.8899999999994</v>
      </c>
      <c r="G13" s="2">
        <v>672.38</v>
      </c>
      <c r="H13" s="2">
        <v>1572.82</v>
      </c>
      <c r="J13" s="19"/>
      <c r="K13" s="8" t="s">
        <v>98</v>
      </c>
      <c r="L13" s="8" t="s">
        <v>99</v>
      </c>
      <c r="M13" s="8" t="s">
        <v>100</v>
      </c>
      <c r="N13" s="8" t="s">
        <v>101</v>
      </c>
      <c r="O13" s="8" t="s">
        <v>102</v>
      </c>
      <c r="P13" s="14"/>
      <c r="Q13" s="14"/>
      <c r="R13" s="14"/>
      <c r="S13" s="15"/>
      <c r="V13" s="38">
        <f>Sales_Data!E12</f>
        <v>1572.82</v>
      </c>
      <c r="W13" s="38">
        <f>Sales_Data!I12</f>
        <v>672.38</v>
      </c>
      <c r="Y13" s="41">
        <f t="shared" si="1"/>
        <v>45689</v>
      </c>
      <c r="Z13" s="14">
        <f>SUMIFS(Sales_Data!$E$2:$E$201,Sales_Data!$H$2:$H$201,"&gt;="&amp;Y13,Sales_Data!$H$2:$H$201,"&lt;"&amp;EDATE(Y13,1))</f>
        <v>14006.359999999999</v>
      </c>
      <c r="AA13" s="42">
        <f t="shared" si="0"/>
        <v>-6.0899183018039482E-2</v>
      </c>
      <c r="AC13" s="13" t="str">
        <v>David Smith</v>
      </c>
      <c r="AD13" s="15">
        <f>SUMIF(Sales_Data!$B$2:$B$201,AC12,Sales_Data!$E$2:$E$201)</f>
        <v>11398.32</v>
      </c>
      <c r="AF13" t="str">
        <v>CUST012</v>
      </c>
      <c r="AG13">
        <v>8339</v>
      </c>
    </row>
    <row r="14" spans="1:33" ht="15" thickBot="1" x14ac:dyDescent="0.35">
      <c r="A14" s="34" t="s">
        <v>37</v>
      </c>
      <c r="B14" s="15">
        <f>SUMIF(Sales_Data!$A$2:$A$201,A14,Sales_Data!$E$2:$E$201)</f>
        <v>6729.8899999999994</v>
      </c>
      <c r="G14" s="2">
        <v>456.66</v>
      </c>
      <c r="H14" s="2">
        <v>1343.13</v>
      </c>
      <c r="J14" s="17" t="s">
        <v>94</v>
      </c>
      <c r="K14" s="6">
        <v>1</v>
      </c>
      <c r="L14" s="6">
        <v>2194058.1833402822</v>
      </c>
      <c r="M14" s="6">
        <v>2194058.1833402822</v>
      </c>
      <c r="N14" s="6">
        <v>294.72398427548114</v>
      </c>
      <c r="O14" s="6">
        <v>4.6269367558910499E-41</v>
      </c>
      <c r="P14" s="14"/>
      <c r="Q14" s="14"/>
      <c r="R14" s="14"/>
      <c r="S14" s="15"/>
      <c r="V14" s="38">
        <f>Sales_Data!E13</f>
        <v>1343.13</v>
      </c>
      <c r="W14" s="38">
        <f>Sales_Data!I13</f>
        <v>456.66</v>
      </c>
      <c r="Y14" s="41">
        <f t="shared" si="1"/>
        <v>45717</v>
      </c>
      <c r="Z14" s="14">
        <f>SUMIFS(Sales_Data!$E$2:$E$201,Sales_Data!$H$2:$H$201,"&gt;="&amp;Y14,Sales_Data!$H$2:$H$201,"&lt;"&amp;EDATE(Y14,1))</f>
        <v>17655.219999999998</v>
      </c>
      <c r="AA14" s="42">
        <f t="shared" si="0"/>
        <v>0.26051450912299834</v>
      </c>
      <c r="AC14" s="13" t="str">
        <v>Sarah Anderson</v>
      </c>
      <c r="AD14" s="15">
        <f>SUMIF(Sales_Data!$B$2:$B$201,AC13,Sales_Data!$E$2:$E$201)</f>
        <v>1672.88</v>
      </c>
    </row>
    <row r="15" spans="1:33" ht="15" thickBot="1" x14ac:dyDescent="0.35">
      <c r="A15" s="34" t="s">
        <v>25</v>
      </c>
      <c r="B15" s="15">
        <f>SUMIF(Sales_Data!$A$2:$A$201,A15,Sales_Data!$E$2:$E$201)</f>
        <v>9941.8799999999992</v>
      </c>
      <c r="G15" s="2">
        <v>452.8</v>
      </c>
      <c r="H15" s="2">
        <v>1191.58</v>
      </c>
      <c r="J15" s="17" t="s">
        <v>95</v>
      </c>
      <c r="K15" s="6">
        <v>198</v>
      </c>
      <c r="L15" s="6">
        <v>1474001.2468592182</v>
      </c>
      <c r="M15" s="6">
        <v>7444.4507417132236</v>
      </c>
      <c r="N15" s="6"/>
      <c r="O15" s="6"/>
      <c r="P15" s="14"/>
      <c r="Q15" s="14"/>
      <c r="R15" s="14"/>
      <c r="S15" s="15"/>
      <c r="V15" s="38">
        <f>Sales_Data!E14</f>
        <v>1191.58</v>
      </c>
      <c r="W15" s="38">
        <f>Sales_Data!I14</f>
        <v>452.8</v>
      </c>
      <c r="Y15" s="43">
        <f t="shared" si="1"/>
        <v>45748</v>
      </c>
      <c r="Z15" s="21">
        <f>SUMIFS(Sales_Data!$E$2:$E$201,Sales_Data!$H$2:$H$201,"&gt;="&amp;Y15,Sales_Data!$H$2:$H$201,"&lt;"&amp;EDATE(Y15,1))</f>
        <v>3212.17</v>
      </c>
      <c r="AA15" s="44">
        <f t="shared" si="0"/>
        <v>-0.81806117397574196</v>
      </c>
      <c r="AC15" s="13" t="str">
        <v>Lisa Thomas</v>
      </c>
      <c r="AD15" s="15">
        <f>SUMIF(Sales_Data!$B$2:$B$201,AC14,Sales_Data!$E$2:$E$201)</f>
        <v>7296.1900000000005</v>
      </c>
    </row>
    <row r="16" spans="1:33" ht="15" thickBot="1" x14ac:dyDescent="0.35">
      <c r="A16" s="34" t="s">
        <v>40</v>
      </c>
      <c r="B16" s="15">
        <f>SUMIF(Sales_Data!$A$2:$A$201,A16,Sales_Data!$E$2:$E$201)</f>
        <v>5913.68</v>
      </c>
      <c r="G16" s="2">
        <v>273.41000000000003</v>
      </c>
      <c r="H16" s="2">
        <v>822.28</v>
      </c>
      <c r="J16" s="18" t="s">
        <v>96</v>
      </c>
      <c r="K16" s="7">
        <v>199</v>
      </c>
      <c r="L16" s="7">
        <v>3668059.4301995002</v>
      </c>
      <c r="M16" s="7"/>
      <c r="N16" s="7"/>
      <c r="O16" s="7"/>
      <c r="P16" s="14"/>
      <c r="Q16" s="14"/>
      <c r="R16" s="14"/>
      <c r="S16" s="15"/>
      <c r="V16" s="38">
        <f>Sales_Data!E15</f>
        <v>822.28</v>
      </c>
      <c r="W16" s="38">
        <f>Sales_Data!I15</f>
        <v>273.41000000000003</v>
      </c>
      <c r="Z16" s="5"/>
      <c r="AC16" s="13" t="str">
        <v>Mary Jackson</v>
      </c>
      <c r="AD16" s="15">
        <f>SUMIF(Sales_Data!$B$2:$B$201,AC15,Sales_Data!$E$2:$E$201)</f>
        <v>8635.9500000000007</v>
      </c>
    </row>
    <row r="17" spans="1:30" ht="15" thickBot="1" x14ac:dyDescent="0.35">
      <c r="A17" s="34" t="s">
        <v>41</v>
      </c>
      <c r="B17" s="15">
        <f>SUMIF(Sales_Data!$A$2:$A$201,A17,Sales_Data!$E$2:$E$201)</f>
        <v>5779.05</v>
      </c>
      <c r="G17" s="2">
        <v>155.19999999999999</v>
      </c>
      <c r="H17" s="2">
        <v>521.66999999999996</v>
      </c>
      <c r="J17" s="13"/>
      <c r="K17" s="14"/>
      <c r="L17" s="14"/>
      <c r="M17" s="14"/>
      <c r="N17" s="14"/>
      <c r="O17" s="14"/>
      <c r="P17" s="14"/>
      <c r="Q17" s="14"/>
      <c r="R17" s="14"/>
      <c r="S17" s="15"/>
      <c r="V17" s="38">
        <f>Sales_Data!E16</f>
        <v>521.66999999999996</v>
      </c>
      <c r="W17" s="38">
        <f>Sales_Data!I16</f>
        <v>155.19999999999999</v>
      </c>
      <c r="Z17" s="5"/>
      <c r="AC17" s="13" t="str">
        <v>Lisa Davis</v>
      </c>
      <c r="AD17" s="15">
        <f>SUMIF(Sales_Data!$B$2:$B$201,AC16,Sales_Data!$E$2:$E$201)</f>
        <v>7251.18</v>
      </c>
    </row>
    <row r="18" spans="1:30" ht="15" thickBot="1" x14ac:dyDescent="0.35">
      <c r="A18" s="34" t="s">
        <v>19</v>
      </c>
      <c r="B18" s="15">
        <f>SUMIF(Sales_Data!$A$2:$A$201,A18,Sales_Data!$E$2:$E$201)</f>
        <v>6666.130000000001</v>
      </c>
      <c r="G18" s="2">
        <v>300.58999999999997</v>
      </c>
      <c r="H18" s="2">
        <v>1502.93</v>
      </c>
      <c r="J18" s="19"/>
      <c r="K18" s="8" t="s">
        <v>103</v>
      </c>
      <c r="L18" s="8" t="s">
        <v>91</v>
      </c>
      <c r="M18" s="8" t="s">
        <v>104</v>
      </c>
      <c r="N18" s="8" t="s">
        <v>105</v>
      </c>
      <c r="O18" s="8" t="s">
        <v>106</v>
      </c>
      <c r="P18" s="8" t="s">
        <v>107</v>
      </c>
      <c r="Q18" s="8" t="s">
        <v>108</v>
      </c>
      <c r="R18" s="8" t="s">
        <v>109</v>
      </c>
      <c r="S18" s="15"/>
      <c r="V18" s="38">
        <f>Sales_Data!E17</f>
        <v>1502.93</v>
      </c>
      <c r="W18" s="38">
        <f>Sales_Data!I17</f>
        <v>300.58999999999997</v>
      </c>
      <c r="Z18" s="5"/>
      <c r="AC18" s="13" t="str">
        <v>Linda Brown</v>
      </c>
      <c r="AD18" s="15">
        <f>SUMIF(Sales_Data!$B$2:$B$201,AC17,Sales_Data!$E$2:$E$201)</f>
        <v>8090.12</v>
      </c>
    </row>
    <row r="19" spans="1:30" ht="15" thickBot="1" x14ac:dyDescent="0.35">
      <c r="A19" s="34" t="s">
        <v>44</v>
      </c>
      <c r="B19" s="15">
        <f>SUMIF(Sales_Data!$A$2:$A$201,A19,Sales_Data!$E$2:$E$201)</f>
        <v>9760.7999999999993</v>
      </c>
      <c r="G19" s="2">
        <v>298.38</v>
      </c>
      <c r="H19" s="2">
        <v>877.58</v>
      </c>
      <c r="J19" s="17" t="s">
        <v>97</v>
      </c>
      <c r="K19" s="6">
        <v>-1.0315504901911368</v>
      </c>
      <c r="L19" s="6">
        <v>20.860617005445505</v>
      </c>
      <c r="M19" s="6">
        <v>-4.9449663445805959E-2</v>
      </c>
      <c r="N19" s="6">
        <v>0.96061079696907459</v>
      </c>
      <c r="O19" s="6">
        <v>-42.169051823378965</v>
      </c>
      <c r="P19" s="6">
        <v>40.105950842996691</v>
      </c>
      <c r="Q19" s="6">
        <v>-42.169051823378965</v>
      </c>
      <c r="R19" s="6">
        <v>40.105950842996691</v>
      </c>
      <c r="S19" s="15"/>
      <c r="V19" s="38">
        <f>Sales_Data!E18</f>
        <v>877.58</v>
      </c>
      <c r="W19" s="38">
        <f>Sales_Data!I18</f>
        <v>298.38</v>
      </c>
      <c r="Z19" s="5"/>
      <c r="AC19" s="13" t="str">
        <v>John Brown</v>
      </c>
      <c r="AD19" s="15">
        <f>SUMIF(Sales_Data!$B$2:$B$201,AC18,Sales_Data!$E$2:$E$201)</f>
        <v>5801.29</v>
      </c>
    </row>
    <row r="20" spans="1:30" ht="15" thickBot="1" x14ac:dyDescent="0.35">
      <c r="A20" s="34" t="s">
        <v>28</v>
      </c>
      <c r="B20" s="15">
        <f>SUMIF(Sales_Data!$A$2:$A$201,A20,Sales_Data!$E$2:$E$201)</f>
        <v>6549.55</v>
      </c>
      <c r="G20" s="2">
        <v>203.74</v>
      </c>
      <c r="H20" s="2">
        <v>636.70000000000005</v>
      </c>
      <c r="J20" s="18" t="s">
        <v>4</v>
      </c>
      <c r="K20" s="7">
        <v>0.35085598819512254</v>
      </c>
      <c r="L20" s="7">
        <v>2.0437188630135626E-2</v>
      </c>
      <c r="M20" s="7">
        <v>17.167527028535048</v>
      </c>
      <c r="N20" s="7">
        <v>4.6269367558907868E-41</v>
      </c>
      <c r="O20" s="7">
        <v>0.31055349501865764</v>
      </c>
      <c r="P20" s="7">
        <v>0.39115848137158743</v>
      </c>
      <c r="Q20" s="7">
        <v>0.31055349501865764</v>
      </c>
      <c r="R20" s="7">
        <v>0.39115848137158743</v>
      </c>
      <c r="S20" s="15"/>
      <c r="V20" s="38">
        <f>Sales_Data!E19</f>
        <v>636.70000000000005</v>
      </c>
      <c r="W20" s="38">
        <f>Sales_Data!I19</f>
        <v>203.74</v>
      </c>
      <c r="AC20" s="13" t="str">
        <v>Linda Taylor</v>
      </c>
      <c r="AD20" s="15">
        <f>SUMIF(Sales_Data!$B$2:$B$201,AC19,Sales_Data!$E$2:$E$201)</f>
        <v>1450.99</v>
      </c>
    </row>
    <row r="21" spans="1:30" ht="15" thickBot="1" x14ac:dyDescent="0.35">
      <c r="A21" s="34" t="s">
        <v>46</v>
      </c>
      <c r="B21" s="15">
        <f>SUMIF(Sales_Data!$A$2:$A$201,A21,Sales_Data!$E$2:$E$201)</f>
        <v>2699.75</v>
      </c>
      <c r="G21" s="2">
        <v>481.96</v>
      </c>
      <c r="H21" s="2">
        <v>1506.14</v>
      </c>
      <c r="J21" s="20"/>
      <c r="K21" s="21"/>
      <c r="L21" s="21"/>
      <c r="M21" s="21"/>
      <c r="N21" s="21"/>
      <c r="O21" s="21"/>
      <c r="P21" s="21"/>
      <c r="Q21" s="21"/>
      <c r="R21" s="21"/>
      <c r="S21" s="22"/>
      <c r="V21" s="38">
        <f>Sales_Data!E20</f>
        <v>1506.14</v>
      </c>
      <c r="W21" s="38">
        <f>Sales_Data!I20</f>
        <v>481.96</v>
      </c>
      <c r="AC21" s="13" t="str">
        <v>David Brown</v>
      </c>
      <c r="AD21" s="15">
        <f>SUMIF(Sales_Data!$B$2:$B$201,AC20,Sales_Data!$E$2:$E$201)</f>
        <v>7522.77</v>
      </c>
    </row>
    <row r="22" spans="1:30" ht="15" thickBot="1" x14ac:dyDescent="0.35">
      <c r="A22" s="34" t="s">
        <v>30</v>
      </c>
      <c r="B22" s="15">
        <f>SUMIF(Sales_Data!$A$2:$A$201,A22,Sales_Data!$E$2:$E$201)</f>
        <v>9371.81</v>
      </c>
      <c r="G22" s="2">
        <v>161.26</v>
      </c>
      <c r="H22" s="2">
        <v>645.02</v>
      </c>
      <c r="V22" s="38">
        <f>Sales_Data!E21</f>
        <v>645.02</v>
      </c>
      <c r="W22" s="38">
        <f>Sales_Data!I21</f>
        <v>161.26</v>
      </c>
      <c r="AC22" s="13" t="str">
        <v>David Davis</v>
      </c>
      <c r="AD22" s="15">
        <f>SUMIF(Sales_Data!$B$2:$B$201,AC21,Sales_Data!$E$2:$E$201)</f>
        <v>11915.829999999998</v>
      </c>
    </row>
    <row r="23" spans="1:30" ht="15" thickBot="1" x14ac:dyDescent="0.35">
      <c r="A23" s="34" t="s">
        <v>25</v>
      </c>
      <c r="B23" s="15">
        <f>SUMIF(Sales_Data!$A$2:$A$201,A23,Sales_Data!$E$2:$E$201)</f>
        <v>9941.8799999999992</v>
      </c>
      <c r="G23" s="2">
        <v>476.65</v>
      </c>
      <c r="H23" s="2">
        <v>953.3</v>
      </c>
      <c r="V23" s="38">
        <f>Sales_Data!E22</f>
        <v>953.3</v>
      </c>
      <c r="W23" s="38">
        <f>Sales_Data!I22</f>
        <v>476.65</v>
      </c>
      <c r="AC23" s="13" t="str">
        <v>Mary Wilson</v>
      </c>
      <c r="AD23" s="15">
        <f>SUMIF(Sales_Data!$B$2:$B$201,AC22,Sales_Data!$E$2:$E$201)</f>
        <v>3819.1400000000003</v>
      </c>
    </row>
    <row r="24" spans="1:30" ht="16.2" thickBot="1" x14ac:dyDescent="0.35">
      <c r="A24" s="34" t="s">
        <v>49</v>
      </c>
      <c r="B24" s="15">
        <f>SUMIF(Sales_Data!$A$2:$A$201,A24,Sales_Data!$E$2:$E$201)</f>
        <v>4418.2800000000007</v>
      </c>
      <c r="G24" s="2">
        <v>82.57</v>
      </c>
      <c r="H24" s="2">
        <v>388.56</v>
      </c>
      <c r="J24" s="60" t="s">
        <v>123</v>
      </c>
      <c r="K24" s="61"/>
      <c r="M24" s="62" t="s">
        <v>124</v>
      </c>
      <c r="N24" s="63"/>
      <c r="O24" s="64"/>
      <c r="V24" s="38">
        <f>Sales_Data!E23</f>
        <v>388.56</v>
      </c>
      <c r="W24" s="38">
        <f>Sales_Data!I23</f>
        <v>82.57</v>
      </c>
      <c r="AC24" s="13" t="str">
        <v>Emma Wilson</v>
      </c>
      <c r="AD24" s="15">
        <f>SUMIF(Sales_Data!$B$2:$B$201,AC23,Sales_Data!$E$2:$E$201)</f>
        <v>5443.34</v>
      </c>
    </row>
    <row r="25" spans="1:30" ht="15" thickBot="1" x14ac:dyDescent="0.35">
      <c r="A25" s="34" t="s">
        <v>9</v>
      </c>
      <c r="B25" s="15">
        <f>SUMIF(Sales_Data!$A$2:$A$201,A25,Sales_Data!$E$2:$E$201)</f>
        <v>4640.1099999999997</v>
      </c>
      <c r="G25" s="2">
        <v>297.27</v>
      </c>
      <c r="H25" s="2">
        <v>743.17</v>
      </c>
      <c r="J25" s="91" t="s">
        <v>4</v>
      </c>
      <c r="K25" s="92"/>
      <c r="M25" s="93" t="s">
        <v>125</v>
      </c>
      <c r="N25" s="94" t="s">
        <v>127</v>
      </c>
      <c r="O25" s="95"/>
      <c r="V25" s="38">
        <f>Sales_Data!E24</f>
        <v>743.17</v>
      </c>
      <c r="W25" s="38">
        <f>Sales_Data!I24</f>
        <v>297.27</v>
      </c>
      <c r="AC25" s="13" t="str">
        <v>Linda Davis</v>
      </c>
      <c r="AD25" s="15">
        <f>SUMIF(Sales_Data!$B$2:$B$201,AC24,Sales_Data!$E$2:$E$201)</f>
        <v>8543.9699999999993</v>
      </c>
    </row>
    <row r="26" spans="1:30" ht="15" thickBot="1" x14ac:dyDescent="0.35">
      <c r="A26" s="34" t="s">
        <v>40</v>
      </c>
      <c r="B26" s="15">
        <f>SUMIF(Sales_Data!$A$2:$A$201,A26,Sales_Data!$E$2:$E$201)</f>
        <v>5913.68</v>
      </c>
      <c r="G26" s="2">
        <v>176.59</v>
      </c>
      <c r="H26" s="2">
        <v>706.37</v>
      </c>
      <c r="J26" s="17"/>
      <c r="K26" s="23"/>
      <c r="M26" s="17">
        <v>258.51</v>
      </c>
      <c r="N26" s="6">
        <v>1</v>
      </c>
      <c r="O26" s="15"/>
      <c r="V26" s="38">
        <f>Sales_Data!E25</f>
        <v>706.37</v>
      </c>
      <c r="W26" s="38">
        <f>Sales_Data!I25</f>
        <v>176.59</v>
      </c>
      <c r="AC26" s="13" t="str">
        <v>Sarah Davis</v>
      </c>
      <c r="AD26" s="15">
        <f>SUMIF(Sales_Data!$B$2:$B$201,AC25,Sales_Data!$E$2:$E$201)</f>
        <v>856.7</v>
      </c>
    </row>
    <row r="27" spans="1:30" ht="15" thickBot="1" x14ac:dyDescent="0.35">
      <c r="A27" s="34" t="s">
        <v>13</v>
      </c>
      <c r="B27" s="15">
        <f>SUMIF(Sales_Data!$A$2:$A$201,A27,Sales_Data!$E$2:$E$201)</f>
        <v>8339</v>
      </c>
      <c r="G27" s="2">
        <v>374.75</v>
      </c>
      <c r="H27" s="2">
        <v>925.31</v>
      </c>
      <c r="J27" s="17" t="s">
        <v>111</v>
      </c>
      <c r="K27" s="23">
        <v>976.3288442211051</v>
      </c>
      <c r="M27" s="17">
        <v>377.44928571428568</v>
      </c>
      <c r="N27" s="6">
        <v>2</v>
      </c>
      <c r="O27" s="15"/>
      <c r="V27" s="38">
        <f>Sales_Data!E26</f>
        <v>925.31</v>
      </c>
      <c r="W27" s="38">
        <f>Sales_Data!I26</f>
        <v>374.75</v>
      </c>
      <c r="AC27" s="13" t="str">
        <v>Emma Taylor</v>
      </c>
      <c r="AD27" s="15">
        <f>SUMIF(Sales_Data!$B$2:$B$201,AC26,Sales_Data!$E$2:$E$201)</f>
        <v>5771.59</v>
      </c>
    </row>
    <row r="28" spans="1:30" ht="15" thickBot="1" x14ac:dyDescent="0.35">
      <c r="A28" s="34" t="s">
        <v>35</v>
      </c>
      <c r="B28" s="15">
        <f>SUMIF(Sales_Data!$A$2:$A$201,A28,Sales_Data!$E$2:$E$201)</f>
        <v>4259.22</v>
      </c>
      <c r="G28" s="2">
        <v>293.27999999999997</v>
      </c>
      <c r="H28" s="2">
        <v>1173.1199999999999</v>
      </c>
      <c r="J28" s="17" t="s">
        <v>91</v>
      </c>
      <c r="K28" s="23">
        <v>21.267091598225537</v>
      </c>
      <c r="M28" s="17">
        <v>496.38857142857142</v>
      </c>
      <c r="N28" s="6">
        <v>7</v>
      </c>
      <c r="O28" s="15"/>
      <c r="V28" s="38">
        <f>Sales_Data!E27</f>
        <v>1173.1199999999999</v>
      </c>
      <c r="W28" s="38">
        <f>Sales_Data!I27</f>
        <v>293.27999999999997</v>
      </c>
      <c r="AC28" s="13" t="str">
        <v>Linda Moore</v>
      </c>
      <c r="AD28" s="15">
        <f>SUMIF(Sales_Data!$B$2:$B$201,AC27,Sales_Data!$E$2:$E$201)</f>
        <v>5014.96</v>
      </c>
    </row>
    <row r="29" spans="1:30" ht="15" thickBot="1" x14ac:dyDescent="0.35">
      <c r="A29" s="34" t="s">
        <v>22</v>
      </c>
      <c r="B29" s="15">
        <f>SUMIF(Sales_Data!$A$2:$A$201,A29,Sales_Data!$E$2:$E$201)</f>
        <v>7928.71</v>
      </c>
      <c r="G29" s="2">
        <v>236.44</v>
      </c>
      <c r="H29" s="2">
        <v>675.54</v>
      </c>
      <c r="J29" s="17" t="s">
        <v>112</v>
      </c>
      <c r="K29" s="23">
        <v>980.18</v>
      </c>
      <c r="M29" s="17">
        <v>615.32785714285717</v>
      </c>
      <c r="N29" s="6">
        <v>13</v>
      </c>
      <c r="O29" s="15"/>
      <c r="V29" s="38">
        <f>Sales_Data!E28</f>
        <v>675.54</v>
      </c>
      <c r="W29" s="38">
        <f>Sales_Data!I28</f>
        <v>236.44</v>
      </c>
      <c r="AC29" s="20" t="str">
        <v>David Anderson</v>
      </c>
      <c r="AD29" s="22">
        <f>SUMIF(Sales_Data!$B$2:$B$201,AC28,Sales_Data!$E$2:$E$201)</f>
        <v>2304.9</v>
      </c>
    </row>
    <row r="30" spans="1:30" ht="15" thickBot="1" x14ac:dyDescent="0.35">
      <c r="A30" s="34" t="s">
        <v>25</v>
      </c>
      <c r="B30" s="15">
        <f>SUMIF(Sales_Data!$A$2:$A$201,A30,Sales_Data!$E$2:$E$201)</f>
        <v>9941.8799999999992</v>
      </c>
      <c r="G30" s="2">
        <v>356.85</v>
      </c>
      <c r="H30" s="2">
        <v>939.09</v>
      </c>
      <c r="J30" s="17" t="s">
        <v>113</v>
      </c>
      <c r="K30" s="23" t="e">
        <v>#N/A</v>
      </c>
      <c r="M30" s="17">
        <v>734.26714285714286</v>
      </c>
      <c r="N30" s="6">
        <v>19</v>
      </c>
      <c r="O30" s="15"/>
      <c r="V30" s="38">
        <f>Sales_Data!E29</f>
        <v>939.09</v>
      </c>
      <c r="W30" s="38">
        <f>Sales_Data!I29</f>
        <v>356.85</v>
      </c>
    </row>
    <row r="31" spans="1:30" ht="15" thickBot="1" x14ac:dyDescent="0.35">
      <c r="A31" s="34" t="s">
        <v>52</v>
      </c>
      <c r="B31" s="15">
        <f>SUMIF(Sales_Data!$A$2:$A$201,A31,Sales_Data!$E$2:$E$201)</f>
        <v>10293.870000000001</v>
      </c>
      <c r="G31" s="2">
        <v>398.25</v>
      </c>
      <c r="H31" s="2">
        <v>983.34</v>
      </c>
      <c r="J31" s="17" t="s">
        <v>114</v>
      </c>
      <c r="K31" s="23">
        <v>300.00924623153821</v>
      </c>
      <c r="M31" s="17">
        <v>853.20642857142855</v>
      </c>
      <c r="N31" s="6">
        <v>28</v>
      </c>
      <c r="O31" s="15"/>
      <c r="V31" s="38">
        <f>Sales_Data!E30</f>
        <v>983.34</v>
      </c>
      <c r="W31" s="38">
        <f>Sales_Data!I30</f>
        <v>398.25</v>
      </c>
    </row>
    <row r="32" spans="1:30" ht="15" thickBot="1" x14ac:dyDescent="0.35">
      <c r="A32" s="35" t="s">
        <v>52</v>
      </c>
      <c r="B32" s="22">
        <f>SUMIF(Sales_Data!$A$2:$A$201,A32,Sales_Data!$E$2:$E$201)</f>
        <v>10293.870000000001</v>
      </c>
      <c r="G32" s="2">
        <v>160.24</v>
      </c>
      <c r="H32" s="2">
        <v>801.21</v>
      </c>
      <c r="J32" s="17" t="s">
        <v>115</v>
      </c>
      <c r="K32" s="23">
        <v>90005.547824415742</v>
      </c>
      <c r="M32" s="17">
        <v>972.14571428571435</v>
      </c>
      <c r="N32" s="6">
        <v>29</v>
      </c>
      <c r="O32" s="15"/>
      <c r="V32" s="38">
        <f>Sales_Data!E31</f>
        <v>801.21</v>
      </c>
      <c r="W32" s="38">
        <f>Sales_Data!I31</f>
        <v>160.24</v>
      </c>
    </row>
    <row r="33" spans="7:23" ht="15" thickBot="1" x14ac:dyDescent="0.35">
      <c r="G33" s="2">
        <v>326.41000000000003</v>
      </c>
      <c r="H33" s="2">
        <v>1450.71</v>
      </c>
      <c r="J33" s="17" t="s">
        <v>116</v>
      </c>
      <c r="K33" s="23">
        <v>-0.10296167052772454</v>
      </c>
      <c r="M33" s="17">
        <v>1091.085</v>
      </c>
      <c r="N33" s="6">
        <v>31</v>
      </c>
      <c r="O33" s="15"/>
      <c r="V33" s="38">
        <f>Sales_Data!E32</f>
        <v>1450.71</v>
      </c>
      <c r="W33" s="38">
        <f>Sales_Data!I32</f>
        <v>326.41000000000003</v>
      </c>
    </row>
    <row r="34" spans="7:23" ht="15" thickBot="1" x14ac:dyDescent="0.35">
      <c r="G34" s="2">
        <v>388.82</v>
      </c>
      <c r="H34" s="2">
        <v>1023.21</v>
      </c>
      <c r="J34" s="17" t="s">
        <v>117</v>
      </c>
      <c r="K34" s="23">
        <v>0.14412008238856419</v>
      </c>
      <c r="M34" s="17">
        <v>1210.0242857142857</v>
      </c>
      <c r="N34" s="6">
        <v>28</v>
      </c>
      <c r="O34" s="15"/>
      <c r="V34" s="38">
        <f>Sales_Data!E33</f>
        <v>1023.21</v>
      </c>
      <c r="W34" s="38">
        <f>Sales_Data!I33</f>
        <v>388.82</v>
      </c>
    </row>
    <row r="35" spans="7:23" ht="15" thickBot="1" x14ac:dyDescent="0.35">
      <c r="G35" s="2">
        <v>253.98</v>
      </c>
      <c r="H35" s="2">
        <v>853.72</v>
      </c>
      <c r="J35" s="17" t="s">
        <v>118</v>
      </c>
      <c r="K35" s="23">
        <v>1665.15</v>
      </c>
      <c r="M35" s="17">
        <v>1328.9635714285714</v>
      </c>
      <c r="N35" s="6">
        <v>17</v>
      </c>
      <c r="O35" s="15"/>
      <c r="V35" s="38">
        <f>Sales_Data!E34</f>
        <v>853.72</v>
      </c>
      <c r="W35" s="38">
        <f>Sales_Data!I34</f>
        <v>253.98</v>
      </c>
    </row>
    <row r="36" spans="7:23" ht="15" thickBot="1" x14ac:dyDescent="0.35">
      <c r="G36" s="2">
        <v>217.78</v>
      </c>
      <c r="H36" s="2">
        <v>967.89</v>
      </c>
      <c r="J36" s="17" t="s">
        <v>119</v>
      </c>
      <c r="K36" s="23">
        <v>258.51</v>
      </c>
      <c r="M36" s="17">
        <v>1447.9028571428571</v>
      </c>
      <c r="N36" s="6">
        <v>11</v>
      </c>
      <c r="O36" s="15"/>
      <c r="V36" s="38">
        <f>Sales_Data!E35</f>
        <v>967.89</v>
      </c>
      <c r="W36" s="38">
        <f>Sales_Data!I35</f>
        <v>217.78</v>
      </c>
    </row>
    <row r="37" spans="7:23" ht="15" thickBot="1" x14ac:dyDescent="0.35">
      <c r="G37" s="2">
        <v>513.38</v>
      </c>
      <c r="H37" s="2">
        <v>1200.9000000000001</v>
      </c>
      <c r="J37" s="17" t="s">
        <v>120</v>
      </c>
      <c r="K37" s="23">
        <v>1923.66</v>
      </c>
      <c r="M37" s="17">
        <v>1566.8421428571428</v>
      </c>
      <c r="N37" s="6">
        <v>8</v>
      </c>
      <c r="O37" s="15"/>
      <c r="V37" s="38">
        <f>Sales_Data!E36</f>
        <v>1200.9000000000001</v>
      </c>
      <c r="W37" s="38">
        <f>Sales_Data!I36</f>
        <v>513.38</v>
      </c>
    </row>
    <row r="38" spans="7:23" ht="15" thickBot="1" x14ac:dyDescent="0.35">
      <c r="G38" s="2">
        <v>151.16</v>
      </c>
      <c r="H38" s="2">
        <v>472.38</v>
      </c>
      <c r="J38" s="17" t="s">
        <v>121</v>
      </c>
      <c r="K38" s="23">
        <v>194289.43999999992</v>
      </c>
      <c r="M38" s="17">
        <v>1685.7814285714287</v>
      </c>
      <c r="N38" s="6">
        <v>5</v>
      </c>
      <c r="O38" s="15"/>
      <c r="V38" s="38">
        <f>Sales_Data!E37</f>
        <v>472.38</v>
      </c>
      <c r="W38" s="38">
        <f>Sales_Data!I37</f>
        <v>151.16</v>
      </c>
    </row>
    <row r="39" spans="7:23" ht="15" thickBot="1" x14ac:dyDescent="0.35">
      <c r="G39" s="2">
        <v>359.49</v>
      </c>
      <c r="H39" s="2">
        <v>840.92</v>
      </c>
      <c r="J39" s="18" t="s">
        <v>122</v>
      </c>
      <c r="K39" s="24">
        <v>199</v>
      </c>
      <c r="M39" s="17">
        <v>1804.7207142857144</v>
      </c>
      <c r="N39" s="6">
        <v>0</v>
      </c>
      <c r="O39" s="15"/>
      <c r="V39" s="38">
        <f>Sales_Data!E38</f>
        <v>840.92</v>
      </c>
      <c r="W39" s="38">
        <f>Sales_Data!I38</f>
        <v>359.49</v>
      </c>
    </row>
    <row r="40" spans="7:23" ht="15" thickBot="1" x14ac:dyDescent="0.35">
      <c r="G40" s="2">
        <v>468.84</v>
      </c>
      <c r="H40" s="2">
        <v>1410.06</v>
      </c>
      <c r="J40" s="20"/>
      <c r="K40" s="22"/>
      <c r="M40" s="25" t="s">
        <v>126</v>
      </c>
      <c r="N40" s="26">
        <v>1</v>
      </c>
      <c r="O40" s="22"/>
      <c r="V40" s="38">
        <f>Sales_Data!E39</f>
        <v>1410.06</v>
      </c>
      <c r="W40" s="38">
        <f>Sales_Data!I39</f>
        <v>468.84</v>
      </c>
    </row>
    <row r="41" spans="7:23" ht="15" thickBot="1" x14ac:dyDescent="0.35">
      <c r="G41" s="2">
        <v>229.99</v>
      </c>
      <c r="H41" s="2">
        <v>773.09</v>
      </c>
      <c r="V41" s="38">
        <f>Sales_Data!E40</f>
        <v>773.09</v>
      </c>
      <c r="W41" s="38">
        <f>Sales_Data!I40</f>
        <v>229.99</v>
      </c>
    </row>
    <row r="42" spans="7:23" ht="15" thickBot="1" x14ac:dyDescent="0.35">
      <c r="G42" s="2">
        <v>197.35</v>
      </c>
      <c r="H42" s="2">
        <v>580.42999999999995</v>
      </c>
      <c r="V42" s="38">
        <f>Sales_Data!E41</f>
        <v>580.42999999999995</v>
      </c>
      <c r="W42" s="38">
        <f>Sales_Data!I41</f>
        <v>197.35</v>
      </c>
    </row>
    <row r="43" spans="7:23" ht="15" thickBot="1" x14ac:dyDescent="0.35">
      <c r="G43" s="2">
        <v>414.44</v>
      </c>
      <c r="H43" s="2">
        <v>1151.21</v>
      </c>
      <c r="V43" s="38">
        <f>Sales_Data!E42</f>
        <v>1151.21</v>
      </c>
      <c r="W43" s="38">
        <f>Sales_Data!I42</f>
        <v>414.44</v>
      </c>
    </row>
    <row r="44" spans="7:23" ht="15" thickBot="1" x14ac:dyDescent="0.35">
      <c r="G44" s="2">
        <v>369.35</v>
      </c>
      <c r="H44" s="2">
        <v>1025.98</v>
      </c>
      <c r="V44" s="38">
        <f>Sales_Data!E43</f>
        <v>1025.98</v>
      </c>
      <c r="W44" s="38">
        <f>Sales_Data!I43</f>
        <v>369.35</v>
      </c>
    </row>
    <row r="45" spans="7:23" ht="15" thickBot="1" x14ac:dyDescent="0.35">
      <c r="G45" s="2">
        <v>212.83</v>
      </c>
      <c r="H45" s="2">
        <v>556.41999999999996</v>
      </c>
      <c r="V45" s="38">
        <f>Sales_Data!E44</f>
        <v>556.41999999999996</v>
      </c>
      <c r="W45" s="38">
        <f>Sales_Data!I44</f>
        <v>212.83</v>
      </c>
    </row>
    <row r="46" spans="7:23" ht="15" thickBot="1" x14ac:dyDescent="0.35">
      <c r="G46" s="2">
        <v>302.70999999999998</v>
      </c>
      <c r="H46" s="2">
        <v>840.85</v>
      </c>
      <c r="V46" s="38">
        <f>Sales_Data!E45</f>
        <v>840.85</v>
      </c>
      <c r="W46" s="38">
        <f>Sales_Data!I45</f>
        <v>302.70999999999998</v>
      </c>
    </row>
    <row r="47" spans="7:23" ht="15" thickBot="1" x14ac:dyDescent="0.35">
      <c r="G47" s="2">
        <v>365.11</v>
      </c>
      <c r="H47" s="2">
        <v>1227.25</v>
      </c>
      <c r="V47" s="38">
        <f>Sales_Data!E46</f>
        <v>1227.25</v>
      </c>
      <c r="W47" s="38">
        <f>Sales_Data!I46</f>
        <v>365.11</v>
      </c>
    </row>
    <row r="48" spans="7:23" ht="15" thickBot="1" x14ac:dyDescent="0.35">
      <c r="G48" s="2">
        <v>214.18</v>
      </c>
      <c r="H48" s="2">
        <v>856.7</v>
      </c>
      <c r="V48" s="38">
        <f>Sales_Data!E47</f>
        <v>856.7</v>
      </c>
      <c r="W48" s="38">
        <f>Sales_Data!I47</f>
        <v>214.18</v>
      </c>
    </row>
    <row r="49" spans="7:23" ht="15" thickBot="1" x14ac:dyDescent="0.35">
      <c r="G49" s="2">
        <v>468.72</v>
      </c>
      <c r="H49" s="2">
        <v>1225.42</v>
      </c>
      <c r="V49" s="38">
        <f>Sales_Data!E48</f>
        <v>1225.42</v>
      </c>
      <c r="W49" s="38">
        <f>Sales_Data!I48</f>
        <v>468.72</v>
      </c>
    </row>
    <row r="50" spans="7:23" ht="15" thickBot="1" x14ac:dyDescent="0.35">
      <c r="G50" s="2">
        <v>450.71</v>
      </c>
      <c r="H50" s="2">
        <v>1001.57</v>
      </c>
      <c r="V50" s="38">
        <f>Sales_Data!E49</f>
        <v>1001.57</v>
      </c>
      <c r="W50" s="38">
        <f>Sales_Data!I49</f>
        <v>450.71</v>
      </c>
    </row>
    <row r="51" spans="7:23" ht="15" thickBot="1" x14ac:dyDescent="0.35">
      <c r="G51" s="2">
        <v>332.32</v>
      </c>
      <c r="H51" s="2">
        <v>1186.8499999999999</v>
      </c>
      <c r="V51" s="38">
        <f>Sales_Data!E50</f>
        <v>1186.8499999999999</v>
      </c>
      <c r="W51" s="38">
        <f>Sales_Data!I50</f>
        <v>332.32</v>
      </c>
    </row>
    <row r="52" spans="7:23" ht="15" thickBot="1" x14ac:dyDescent="0.35">
      <c r="G52" s="2">
        <v>174.48</v>
      </c>
      <c r="H52" s="2">
        <v>775.45</v>
      </c>
      <c r="V52" s="38">
        <f>Sales_Data!E51</f>
        <v>775.45</v>
      </c>
      <c r="W52" s="38">
        <f>Sales_Data!I51</f>
        <v>174.48</v>
      </c>
    </row>
    <row r="53" spans="7:23" ht="15" thickBot="1" x14ac:dyDescent="0.35">
      <c r="G53" s="2">
        <v>242.6</v>
      </c>
      <c r="H53" s="2">
        <v>1021.47</v>
      </c>
      <c r="V53" s="38">
        <f>Sales_Data!E52</f>
        <v>1021.47</v>
      </c>
      <c r="W53" s="38">
        <f>Sales_Data!I52</f>
        <v>242.6</v>
      </c>
    </row>
    <row r="54" spans="7:23" ht="15" thickBot="1" x14ac:dyDescent="0.35">
      <c r="G54" s="2">
        <v>551.98</v>
      </c>
      <c r="H54" s="2">
        <v>1226.6199999999999</v>
      </c>
      <c r="V54" s="38">
        <f>Sales_Data!E53</f>
        <v>1226.6199999999999</v>
      </c>
      <c r="W54" s="38">
        <f>Sales_Data!I53</f>
        <v>551.98</v>
      </c>
    </row>
    <row r="55" spans="7:23" ht="15" thickBot="1" x14ac:dyDescent="0.35">
      <c r="G55" s="2">
        <v>380.43</v>
      </c>
      <c r="H55" s="2">
        <v>1086.93</v>
      </c>
      <c r="V55" s="38">
        <f>Sales_Data!E54</f>
        <v>1086.93</v>
      </c>
      <c r="W55" s="38">
        <f>Sales_Data!I54</f>
        <v>380.43</v>
      </c>
    </row>
    <row r="56" spans="7:23" ht="15" thickBot="1" x14ac:dyDescent="0.35">
      <c r="G56" s="2">
        <v>339.44</v>
      </c>
      <c r="H56" s="2">
        <v>942.9</v>
      </c>
      <c r="V56" s="38">
        <f>Sales_Data!E55</f>
        <v>942.9</v>
      </c>
      <c r="W56" s="38">
        <f>Sales_Data!I55</f>
        <v>339.44</v>
      </c>
    </row>
    <row r="57" spans="7:23" ht="15" thickBot="1" x14ac:dyDescent="0.35">
      <c r="G57" s="2">
        <v>173.99</v>
      </c>
      <c r="H57" s="2">
        <v>818.8</v>
      </c>
      <c r="V57" s="38">
        <f>Sales_Data!E56</f>
        <v>818.8</v>
      </c>
      <c r="W57" s="38">
        <f>Sales_Data!I56</f>
        <v>173.99</v>
      </c>
    </row>
    <row r="58" spans="7:23" ht="15" thickBot="1" x14ac:dyDescent="0.35">
      <c r="G58" s="2">
        <v>257.33</v>
      </c>
      <c r="H58" s="2">
        <v>919.04</v>
      </c>
      <c r="V58" s="38">
        <f>Sales_Data!E57</f>
        <v>919.04</v>
      </c>
      <c r="W58" s="38">
        <f>Sales_Data!I57</f>
        <v>257.33</v>
      </c>
    </row>
    <row r="59" spans="7:23" ht="15" thickBot="1" x14ac:dyDescent="0.35">
      <c r="G59" s="2">
        <v>389.3</v>
      </c>
      <c r="H59" s="2">
        <v>973.26</v>
      </c>
      <c r="V59" s="38">
        <f>Sales_Data!E58</f>
        <v>973.26</v>
      </c>
      <c r="W59" s="38">
        <f>Sales_Data!I58</f>
        <v>389.3</v>
      </c>
    </row>
    <row r="60" spans="7:23" ht="15" thickBot="1" x14ac:dyDescent="0.35">
      <c r="G60" s="2">
        <v>148.32</v>
      </c>
      <c r="H60" s="2">
        <v>741.61</v>
      </c>
      <c r="V60" s="38">
        <f>Sales_Data!E59</f>
        <v>741.61</v>
      </c>
      <c r="W60" s="38">
        <f>Sales_Data!I59</f>
        <v>148.32</v>
      </c>
    </row>
    <row r="61" spans="7:23" ht="15" thickBot="1" x14ac:dyDescent="0.35">
      <c r="G61" s="2">
        <v>449.58</v>
      </c>
      <c r="H61" s="2">
        <v>1248.82</v>
      </c>
      <c r="V61" s="38">
        <f>Sales_Data!E60</f>
        <v>1248.82</v>
      </c>
      <c r="W61" s="38">
        <f>Sales_Data!I60</f>
        <v>449.58</v>
      </c>
    </row>
    <row r="62" spans="7:23" ht="15" thickBot="1" x14ac:dyDescent="0.35">
      <c r="G62" s="2">
        <v>680.18</v>
      </c>
      <c r="H62" s="2">
        <v>1360.36</v>
      </c>
      <c r="V62" s="38">
        <f>Sales_Data!E61</f>
        <v>1360.36</v>
      </c>
      <c r="W62" s="38">
        <f>Sales_Data!I61</f>
        <v>680.18</v>
      </c>
    </row>
    <row r="63" spans="7:23" ht="15" thickBot="1" x14ac:dyDescent="0.35">
      <c r="G63" s="2">
        <v>497.99</v>
      </c>
      <c r="H63" s="2">
        <v>1383.3</v>
      </c>
      <c r="V63" s="38">
        <f>Sales_Data!E62</f>
        <v>1383.3</v>
      </c>
      <c r="W63" s="38">
        <f>Sales_Data!I62</f>
        <v>497.99</v>
      </c>
    </row>
    <row r="64" spans="7:23" ht="15" thickBot="1" x14ac:dyDescent="0.35">
      <c r="G64" s="2">
        <v>220.05</v>
      </c>
      <c r="H64" s="2">
        <v>488.99</v>
      </c>
      <c r="V64" s="38">
        <f>Sales_Data!E63</f>
        <v>488.99</v>
      </c>
      <c r="W64" s="38">
        <f>Sales_Data!I63</f>
        <v>220.05</v>
      </c>
    </row>
    <row r="65" spans="7:23" ht="15" thickBot="1" x14ac:dyDescent="0.35">
      <c r="G65" s="2">
        <v>294.12</v>
      </c>
      <c r="H65" s="2">
        <v>933.71</v>
      </c>
      <c r="V65" s="38">
        <f>Sales_Data!E64</f>
        <v>933.71</v>
      </c>
      <c r="W65" s="38">
        <f>Sales_Data!I64</f>
        <v>294.12</v>
      </c>
    </row>
    <row r="66" spans="7:23" ht="15" thickBot="1" x14ac:dyDescent="0.35">
      <c r="G66" s="2">
        <v>201.11</v>
      </c>
      <c r="H66" s="2">
        <v>1005.53</v>
      </c>
      <c r="V66" s="38">
        <f>Sales_Data!E65</f>
        <v>1005.53</v>
      </c>
      <c r="W66" s="38">
        <f>Sales_Data!I65</f>
        <v>201.11</v>
      </c>
    </row>
    <row r="67" spans="7:23" ht="15" thickBot="1" x14ac:dyDescent="0.35">
      <c r="G67" s="2">
        <v>261.27</v>
      </c>
      <c r="H67" s="2">
        <v>1100.0999999999999</v>
      </c>
      <c r="V67" s="38">
        <f>Sales_Data!E66</f>
        <v>1100.0999999999999</v>
      </c>
      <c r="W67" s="38">
        <f>Sales_Data!I66</f>
        <v>261.27</v>
      </c>
    </row>
    <row r="68" spans="7:23" ht="15" thickBot="1" x14ac:dyDescent="0.35">
      <c r="G68" s="2">
        <v>307.82</v>
      </c>
      <c r="H68" s="2">
        <v>1034.7</v>
      </c>
      <c r="V68" s="38">
        <f>Sales_Data!E67</f>
        <v>1034.7</v>
      </c>
      <c r="W68" s="38">
        <f>Sales_Data!I67</f>
        <v>307.82</v>
      </c>
    </row>
    <row r="69" spans="7:23" ht="15" thickBot="1" x14ac:dyDescent="0.35">
      <c r="G69" s="2">
        <v>333.05</v>
      </c>
      <c r="H69" s="2">
        <v>876.44</v>
      </c>
      <c r="V69" s="38">
        <f>Sales_Data!E68</f>
        <v>876.44</v>
      </c>
      <c r="W69" s="38">
        <f>Sales_Data!I68</f>
        <v>333.05</v>
      </c>
    </row>
    <row r="70" spans="7:23" ht="15" thickBot="1" x14ac:dyDescent="0.35">
      <c r="G70" s="2">
        <v>455.97</v>
      </c>
      <c r="H70" s="2">
        <v>1371.34</v>
      </c>
      <c r="V70" s="38">
        <f>Sales_Data!E69</f>
        <v>1371.34</v>
      </c>
      <c r="W70" s="38">
        <f>Sales_Data!I69</f>
        <v>455.97</v>
      </c>
    </row>
    <row r="71" spans="7:23" ht="15" thickBot="1" x14ac:dyDescent="0.35">
      <c r="G71" s="2">
        <v>242.31</v>
      </c>
      <c r="H71" s="2">
        <v>1020.26</v>
      </c>
      <c r="V71" s="38">
        <f>Sales_Data!E70</f>
        <v>1020.26</v>
      </c>
      <c r="W71" s="38">
        <f>Sales_Data!I70</f>
        <v>242.31</v>
      </c>
    </row>
    <row r="72" spans="7:23" ht="15" thickBot="1" x14ac:dyDescent="0.35">
      <c r="G72" s="2">
        <v>344.06</v>
      </c>
      <c r="H72" s="2">
        <v>804.81</v>
      </c>
      <c r="V72" s="38">
        <f>Sales_Data!E71</f>
        <v>804.81</v>
      </c>
      <c r="W72" s="38">
        <f>Sales_Data!I71</f>
        <v>344.06</v>
      </c>
    </row>
    <row r="73" spans="7:23" ht="15" thickBot="1" x14ac:dyDescent="0.35">
      <c r="G73" s="2">
        <v>144.56</v>
      </c>
      <c r="H73" s="2">
        <v>608.66</v>
      </c>
      <c r="V73" s="38">
        <f>Sales_Data!E72</f>
        <v>608.66</v>
      </c>
      <c r="W73" s="38">
        <f>Sales_Data!I72</f>
        <v>144.56</v>
      </c>
    </row>
    <row r="74" spans="7:23" ht="15" thickBot="1" x14ac:dyDescent="0.35">
      <c r="G74" s="2">
        <v>441.54</v>
      </c>
      <c r="H74" s="2">
        <v>981.2</v>
      </c>
      <c r="V74" s="38">
        <f>Sales_Data!E73</f>
        <v>981.2</v>
      </c>
      <c r="W74" s="38">
        <f>Sales_Data!I73</f>
        <v>441.54</v>
      </c>
    </row>
    <row r="75" spans="7:23" ht="15" thickBot="1" x14ac:dyDescent="0.35">
      <c r="G75" s="2">
        <v>114.7</v>
      </c>
      <c r="H75" s="2">
        <v>539.77</v>
      </c>
      <c r="V75" s="38">
        <f>Sales_Data!E74</f>
        <v>539.77</v>
      </c>
      <c r="W75" s="38">
        <f>Sales_Data!I74</f>
        <v>114.7</v>
      </c>
    </row>
    <row r="76" spans="7:23" ht="15" thickBot="1" x14ac:dyDescent="0.35">
      <c r="G76" s="2">
        <v>257.42</v>
      </c>
      <c r="H76" s="2">
        <v>804.45</v>
      </c>
      <c r="V76" s="38">
        <f>Sales_Data!E75</f>
        <v>804.45</v>
      </c>
      <c r="W76" s="38">
        <f>Sales_Data!I75</f>
        <v>257.42</v>
      </c>
    </row>
    <row r="77" spans="7:23" ht="15" thickBot="1" x14ac:dyDescent="0.35">
      <c r="G77" s="2">
        <v>305.32</v>
      </c>
      <c r="H77" s="2">
        <v>1526.6</v>
      </c>
      <c r="V77" s="38">
        <f>Sales_Data!E76</f>
        <v>1526.6</v>
      </c>
      <c r="W77" s="38">
        <f>Sales_Data!I76</f>
        <v>305.32</v>
      </c>
    </row>
    <row r="78" spans="7:23" ht="15" thickBot="1" x14ac:dyDescent="0.35">
      <c r="G78" s="2">
        <v>258.24</v>
      </c>
      <c r="H78" s="2">
        <v>1215.26</v>
      </c>
      <c r="V78" s="38">
        <f>Sales_Data!E77</f>
        <v>1215.26</v>
      </c>
      <c r="W78" s="38">
        <f>Sales_Data!I77</f>
        <v>258.24</v>
      </c>
    </row>
    <row r="79" spans="7:23" ht="15" thickBot="1" x14ac:dyDescent="0.35">
      <c r="G79" s="2">
        <v>441.47</v>
      </c>
      <c r="H79" s="2">
        <v>1261.3399999999999</v>
      </c>
      <c r="V79" s="38">
        <f>Sales_Data!E78</f>
        <v>1261.3399999999999</v>
      </c>
      <c r="W79" s="38">
        <f>Sales_Data!I78</f>
        <v>441.47</v>
      </c>
    </row>
    <row r="80" spans="7:23" ht="15" thickBot="1" x14ac:dyDescent="0.35">
      <c r="G80" s="2">
        <v>172.26</v>
      </c>
      <c r="H80" s="2">
        <v>518.07000000000005</v>
      </c>
      <c r="V80" s="38">
        <f>Sales_Data!E79</f>
        <v>518.07000000000005</v>
      </c>
      <c r="W80" s="38">
        <f>Sales_Data!I79</f>
        <v>172.26</v>
      </c>
    </row>
    <row r="81" spans="7:23" ht="15" thickBot="1" x14ac:dyDescent="0.35">
      <c r="G81" s="2">
        <v>500.1</v>
      </c>
      <c r="H81" s="2">
        <v>1111.3399999999999</v>
      </c>
      <c r="V81" s="38">
        <f>Sales_Data!E80</f>
        <v>1111.3399999999999</v>
      </c>
      <c r="W81" s="38">
        <f>Sales_Data!I80</f>
        <v>500.1</v>
      </c>
    </row>
    <row r="82" spans="7:23" ht="15" thickBot="1" x14ac:dyDescent="0.35">
      <c r="G82" s="2">
        <v>581.16</v>
      </c>
      <c r="H82" s="2">
        <v>1291.47</v>
      </c>
      <c r="V82" s="38">
        <f>Sales_Data!E81</f>
        <v>1291.47</v>
      </c>
      <c r="W82" s="38">
        <f>Sales_Data!I81</f>
        <v>581.16</v>
      </c>
    </row>
    <row r="83" spans="7:23" ht="15" thickBot="1" x14ac:dyDescent="0.35">
      <c r="G83" s="2">
        <v>271.88</v>
      </c>
      <c r="H83" s="2">
        <v>679.71</v>
      </c>
      <c r="V83" s="38">
        <f>Sales_Data!E82</f>
        <v>679.71</v>
      </c>
      <c r="W83" s="38">
        <f>Sales_Data!I82</f>
        <v>271.88</v>
      </c>
    </row>
    <row r="84" spans="7:23" ht="15" thickBot="1" x14ac:dyDescent="0.35">
      <c r="G84" s="2">
        <v>400.29</v>
      </c>
      <c r="H84" s="2">
        <v>1143.69</v>
      </c>
      <c r="V84" s="38">
        <f>Sales_Data!E83</f>
        <v>1143.69</v>
      </c>
      <c r="W84" s="38">
        <f>Sales_Data!I83</f>
        <v>400.29</v>
      </c>
    </row>
    <row r="85" spans="7:23" ht="15" thickBot="1" x14ac:dyDescent="0.35">
      <c r="G85" s="2">
        <v>177.77</v>
      </c>
      <c r="H85" s="2">
        <v>790.08</v>
      </c>
      <c r="V85" s="38">
        <f>Sales_Data!E84</f>
        <v>790.08</v>
      </c>
      <c r="W85" s="38">
        <f>Sales_Data!I84</f>
        <v>177.77</v>
      </c>
    </row>
    <row r="86" spans="7:23" ht="15" thickBot="1" x14ac:dyDescent="0.35">
      <c r="G86" s="2">
        <v>406.86</v>
      </c>
      <c r="H86" s="2">
        <v>1070.68</v>
      </c>
      <c r="V86" s="38">
        <f>Sales_Data!E85</f>
        <v>1070.68</v>
      </c>
      <c r="W86" s="38">
        <f>Sales_Data!I85</f>
        <v>406.86</v>
      </c>
    </row>
    <row r="87" spans="7:23" ht="15" thickBot="1" x14ac:dyDescent="0.35">
      <c r="G87" s="2">
        <v>526</v>
      </c>
      <c r="H87" s="2">
        <v>1168.8900000000001</v>
      </c>
      <c r="V87" s="38">
        <f>Sales_Data!E86</f>
        <v>1168.8900000000001</v>
      </c>
      <c r="W87" s="38">
        <f>Sales_Data!I86</f>
        <v>526</v>
      </c>
    </row>
    <row r="88" spans="7:23" ht="15" thickBot="1" x14ac:dyDescent="0.35">
      <c r="G88" s="2">
        <v>333.97</v>
      </c>
      <c r="H88" s="2">
        <v>1335.87</v>
      </c>
      <c r="V88" s="38">
        <f>Sales_Data!E87</f>
        <v>1335.87</v>
      </c>
      <c r="W88" s="38">
        <f>Sales_Data!I87</f>
        <v>333.97</v>
      </c>
    </row>
    <row r="89" spans="7:23" ht="15" thickBot="1" x14ac:dyDescent="0.35">
      <c r="G89" s="2">
        <v>305.8</v>
      </c>
      <c r="H89" s="2">
        <v>873.7</v>
      </c>
      <c r="V89" s="38">
        <f>Sales_Data!E88</f>
        <v>873.7</v>
      </c>
      <c r="W89" s="38">
        <f>Sales_Data!I88</f>
        <v>305.8</v>
      </c>
    </row>
    <row r="90" spans="7:23" ht="15" thickBot="1" x14ac:dyDescent="0.35">
      <c r="G90" s="2">
        <v>649.79</v>
      </c>
      <c r="H90" s="2">
        <v>1443.98</v>
      </c>
      <c r="V90" s="38">
        <f>Sales_Data!E89</f>
        <v>1443.98</v>
      </c>
      <c r="W90" s="38">
        <f>Sales_Data!I89</f>
        <v>649.79</v>
      </c>
    </row>
    <row r="91" spans="7:23" ht="15" thickBot="1" x14ac:dyDescent="0.35">
      <c r="G91" s="2">
        <v>441.53</v>
      </c>
      <c r="H91" s="2">
        <v>1154.33</v>
      </c>
      <c r="V91" s="38">
        <f>Sales_Data!E90</f>
        <v>1154.33</v>
      </c>
      <c r="W91" s="38">
        <f>Sales_Data!I90</f>
        <v>441.53</v>
      </c>
    </row>
    <row r="92" spans="7:23" ht="15" thickBot="1" x14ac:dyDescent="0.35">
      <c r="G92" s="2">
        <v>480.51</v>
      </c>
      <c r="H92" s="2">
        <v>1264.49</v>
      </c>
      <c r="V92" s="38">
        <f>Sales_Data!E91</f>
        <v>1264.49</v>
      </c>
      <c r="W92" s="38">
        <f>Sales_Data!I91</f>
        <v>480.51</v>
      </c>
    </row>
    <row r="93" spans="7:23" ht="15" thickBot="1" x14ac:dyDescent="0.35">
      <c r="G93" s="2">
        <v>346.99</v>
      </c>
      <c r="H93" s="2">
        <v>1101.55</v>
      </c>
      <c r="V93" s="38">
        <f>Sales_Data!E92</f>
        <v>1101.55</v>
      </c>
      <c r="W93" s="38">
        <f>Sales_Data!I92</f>
        <v>346.99</v>
      </c>
    </row>
    <row r="94" spans="7:23" ht="15" thickBot="1" x14ac:dyDescent="0.35">
      <c r="G94" s="2">
        <v>229.23</v>
      </c>
      <c r="H94" s="2">
        <v>727.73</v>
      </c>
      <c r="V94" s="38">
        <f>Sales_Data!E93</f>
        <v>727.73</v>
      </c>
      <c r="W94" s="38">
        <f>Sales_Data!I93</f>
        <v>229.23</v>
      </c>
    </row>
    <row r="95" spans="7:23" ht="15" thickBot="1" x14ac:dyDescent="0.35">
      <c r="G95" s="2">
        <v>334.84</v>
      </c>
      <c r="H95" s="2">
        <v>875.41</v>
      </c>
      <c r="V95" s="38">
        <f>Sales_Data!E94</f>
        <v>875.41</v>
      </c>
      <c r="W95" s="38">
        <f>Sales_Data!I94</f>
        <v>334.84</v>
      </c>
    </row>
    <row r="96" spans="7:23" ht="15" thickBot="1" x14ac:dyDescent="0.35">
      <c r="G96" s="2">
        <v>231.79</v>
      </c>
      <c r="H96" s="2">
        <v>1158.94</v>
      </c>
      <c r="V96" s="38">
        <f>Sales_Data!E95</f>
        <v>1158.94</v>
      </c>
      <c r="W96" s="38">
        <f>Sales_Data!I95</f>
        <v>231.79</v>
      </c>
    </row>
    <row r="97" spans="7:23" ht="15" thickBot="1" x14ac:dyDescent="0.35">
      <c r="G97" s="2">
        <v>328.54</v>
      </c>
      <c r="H97" s="2">
        <v>966.3</v>
      </c>
      <c r="V97" s="38">
        <f>Sales_Data!E96</f>
        <v>966.3</v>
      </c>
      <c r="W97" s="38">
        <f>Sales_Data!I96</f>
        <v>328.54</v>
      </c>
    </row>
    <row r="98" spans="7:23" ht="15" thickBot="1" x14ac:dyDescent="0.35">
      <c r="G98" s="2">
        <v>366.99</v>
      </c>
      <c r="H98" s="2">
        <v>917.48</v>
      </c>
      <c r="V98" s="38">
        <f>Sales_Data!E97</f>
        <v>917.48</v>
      </c>
      <c r="W98" s="38">
        <f>Sales_Data!I97</f>
        <v>366.99</v>
      </c>
    </row>
    <row r="99" spans="7:23" ht="15" thickBot="1" x14ac:dyDescent="0.35">
      <c r="G99" s="2">
        <v>348.96</v>
      </c>
      <c r="H99" s="2">
        <v>1172.97</v>
      </c>
      <c r="V99" s="38">
        <f>Sales_Data!E98</f>
        <v>1172.97</v>
      </c>
      <c r="W99" s="38">
        <f>Sales_Data!I98</f>
        <v>348.96</v>
      </c>
    </row>
    <row r="100" spans="7:23" ht="15" thickBot="1" x14ac:dyDescent="0.35">
      <c r="G100" s="2">
        <v>542.62</v>
      </c>
      <c r="H100" s="2">
        <v>1205.82</v>
      </c>
      <c r="V100" s="38">
        <f>Sales_Data!E99</f>
        <v>1205.82</v>
      </c>
      <c r="W100" s="38">
        <f>Sales_Data!I99</f>
        <v>542.62</v>
      </c>
    </row>
    <row r="101" spans="7:23" ht="15" thickBot="1" x14ac:dyDescent="0.35">
      <c r="G101" s="2">
        <v>297.69</v>
      </c>
      <c r="H101" s="2">
        <v>826.93</v>
      </c>
      <c r="V101" s="38">
        <f>Sales_Data!E100</f>
        <v>826.93</v>
      </c>
      <c r="W101" s="38">
        <f>Sales_Data!I100</f>
        <v>297.69</v>
      </c>
    </row>
    <row r="102" spans="7:23" ht="15" thickBot="1" x14ac:dyDescent="0.35">
      <c r="G102" s="2">
        <v>451.1</v>
      </c>
      <c r="H102" s="2">
        <v>902.19</v>
      </c>
      <c r="V102" s="38">
        <f>Sales_Data!E101</f>
        <v>902.19</v>
      </c>
      <c r="W102" s="38">
        <f>Sales_Data!I101</f>
        <v>451.1</v>
      </c>
    </row>
    <row r="103" spans="7:23" ht="15" thickBot="1" x14ac:dyDescent="0.35">
      <c r="G103" s="2">
        <v>210.95</v>
      </c>
      <c r="H103" s="2">
        <v>585.97</v>
      </c>
      <c r="V103" s="38">
        <f>Sales_Data!E102</f>
        <v>585.97</v>
      </c>
      <c r="W103" s="38">
        <f>Sales_Data!I102</f>
        <v>210.95</v>
      </c>
    </row>
    <row r="104" spans="7:23" ht="15" thickBot="1" x14ac:dyDescent="0.35">
      <c r="G104" s="2">
        <v>445.59</v>
      </c>
      <c r="H104" s="2">
        <v>990.19</v>
      </c>
      <c r="V104" s="38">
        <f>Sales_Data!E103</f>
        <v>990.19</v>
      </c>
      <c r="W104" s="38">
        <f>Sales_Data!I103</f>
        <v>445.59</v>
      </c>
    </row>
    <row r="105" spans="7:23" ht="15" thickBot="1" x14ac:dyDescent="0.35">
      <c r="G105" s="2">
        <v>202.82</v>
      </c>
      <c r="H105" s="2">
        <v>1014.09</v>
      </c>
      <c r="V105" s="38">
        <f>Sales_Data!E104</f>
        <v>1014.09</v>
      </c>
      <c r="W105" s="38">
        <f>Sales_Data!I104</f>
        <v>202.82</v>
      </c>
    </row>
    <row r="106" spans="7:23" ht="15" thickBot="1" x14ac:dyDescent="0.35">
      <c r="G106" s="2">
        <v>231.32</v>
      </c>
      <c r="H106" s="2">
        <v>925.29</v>
      </c>
      <c r="V106" s="38">
        <f>Sales_Data!E105</f>
        <v>925.29</v>
      </c>
      <c r="W106" s="38">
        <f>Sales_Data!I105</f>
        <v>231.32</v>
      </c>
    </row>
    <row r="107" spans="7:23" ht="15" thickBot="1" x14ac:dyDescent="0.35">
      <c r="G107" s="2">
        <v>450.29</v>
      </c>
      <c r="H107" s="2">
        <v>1286.54</v>
      </c>
      <c r="V107" s="38">
        <f>Sales_Data!E106</f>
        <v>1286.54</v>
      </c>
      <c r="W107" s="38">
        <f>Sales_Data!I106</f>
        <v>450.29</v>
      </c>
    </row>
    <row r="108" spans="7:23" ht="15" thickBot="1" x14ac:dyDescent="0.35">
      <c r="G108" s="2">
        <v>307.72000000000003</v>
      </c>
      <c r="H108" s="2">
        <v>961.62</v>
      </c>
      <c r="V108" s="38">
        <f>Sales_Data!E107</f>
        <v>961.62</v>
      </c>
      <c r="W108" s="38">
        <f>Sales_Data!I107</f>
        <v>307.72000000000003</v>
      </c>
    </row>
    <row r="109" spans="7:23" ht="15" thickBot="1" x14ac:dyDescent="0.35">
      <c r="G109" s="2">
        <v>367.59</v>
      </c>
      <c r="H109" s="2">
        <v>1081.1400000000001</v>
      </c>
      <c r="V109" s="38">
        <f>Sales_Data!E108</f>
        <v>1081.1400000000001</v>
      </c>
      <c r="W109" s="38">
        <f>Sales_Data!I108</f>
        <v>367.59</v>
      </c>
    </row>
    <row r="110" spans="7:23" ht="15" thickBot="1" x14ac:dyDescent="0.35">
      <c r="G110" s="2">
        <v>769.46</v>
      </c>
      <c r="H110" s="2">
        <v>1923.66</v>
      </c>
      <c r="V110" s="38">
        <f>Sales_Data!E109</f>
        <v>1923.66</v>
      </c>
      <c r="W110" s="38">
        <f>Sales_Data!I109</f>
        <v>769.46</v>
      </c>
    </row>
    <row r="111" spans="7:23" ht="15" thickBot="1" x14ac:dyDescent="0.35">
      <c r="G111" s="2">
        <v>327.92</v>
      </c>
      <c r="H111" s="2">
        <v>728.71</v>
      </c>
      <c r="V111" s="38">
        <f>Sales_Data!E110</f>
        <v>728.71</v>
      </c>
      <c r="W111" s="38">
        <f>Sales_Data!I110</f>
        <v>327.92</v>
      </c>
    </row>
    <row r="112" spans="7:23" ht="15" thickBot="1" x14ac:dyDescent="0.35">
      <c r="G112" s="2">
        <v>553.29999999999995</v>
      </c>
      <c r="H112" s="2">
        <v>1301.8900000000001</v>
      </c>
      <c r="V112" s="38">
        <f>Sales_Data!E111</f>
        <v>1301.8900000000001</v>
      </c>
      <c r="W112" s="38">
        <f>Sales_Data!I111</f>
        <v>553.29999999999995</v>
      </c>
    </row>
    <row r="113" spans="7:23" ht="15" thickBot="1" x14ac:dyDescent="0.35">
      <c r="G113" s="2">
        <v>352.86</v>
      </c>
      <c r="H113" s="2">
        <v>980.18</v>
      </c>
      <c r="V113" s="38">
        <f>Sales_Data!E112</f>
        <v>980.18</v>
      </c>
      <c r="W113" s="38">
        <f>Sales_Data!I112</f>
        <v>352.86</v>
      </c>
    </row>
    <row r="114" spans="7:23" ht="15" thickBot="1" x14ac:dyDescent="0.35">
      <c r="G114" s="2">
        <v>313.91000000000003</v>
      </c>
      <c r="H114" s="2">
        <v>697.57</v>
      </c>
      <c r="V114" s="38">
        <f>Sales_Data!E113</f>
        <v>697.57</v>
      </c>
      <c r="W114" s="38">
        <f>Sales_Data!I113</f>
        <v>313.91000000000003</v>
      </c>
    </row>
    <row r="115" spans="7:23" ht="15" thickBot="1" x14ac:dyDescent="0.35">
      <c r="G115" s="2">
        <v>355.1</v>
      </c>
      <c r="H115" s="2">
        <v>1193.6099999999999</v>
      </c>
      <c r="V115" s="38">
        <f>Sales_Data!E114</f>
        <v>1193.6099999999999</v>
      </c>
      <c r="W115" s="38">
        <f>Sales_Data!I114</f>
        <v>355.1</v>
      </c>
    </row>
    <row r="116" spans="7:23" ht="15" thickBot="1" x14ac:dyDescent="0.35">
      <c r="G116" s="2">
        <v>192.76</v>
      </c>
      <c r="H116" s="2">
        <v>771.02</v>
      </c>
      <c r="V116" s="38">
        <f>Sales_Data!E115</f>
        <v>771.02</v>
      </c>
      <c r="W116" s="38">
        <f>Sales_Data!I115</f>
        <v>192.76</v>
      </c>
    </row>
    <row r="117" spans="7:23" ht="15" thickBot="1" x14ac:dyDescent="0.35">
      <c r="G117" s="2">
        <v>264.44</v>
      </c>
      <c r="H117" s="2">
        <v>661.09</v>
      </c>
      <c r="V117" s="38">
        <f>Sales_Data!E116</f>
        <v>661.09</v>
      </c>
      <c r="W117" s="38">
        <f>Sales_Data!I116</f>
        <v>264.44</v>
      </c>
    </row>
    <row r="118" spans="7:23" ht="15" thickBot="1" x14ac:dyDescent="0.35">
      <c r="G118" s="2">
        <v>172.21</v>
      </c>
      <c r="H118" s="2">
        <v>688.83</v>
      </c>
      <c r="V118" s="38">
        <f>Sales_Data!E117</f>
        <v>688.83</v>
      </c>
      <c r="W118" s="38">
        <f>Sales_Data!I117</f>
        <v>172.21</v>
      </c>
    </row>
    <row r="119" spans="7:23" ht="15" thickBot="1" x14ac:dyDescent="0.35">
      <c r="G119" s="2">
        <v>474.66</v>
      </c>
      <c r="H119" s="2">
        <v>1249.0999999999999</v>
      </c>
      <c r="V119" s="38">
        <f>Sales_Data!E118</f>
        <v>1249.0999999999999</v>
      </c>
      <c r="W119" s="38">
        <f>Sales_Data!I118</f>
        <v>474.66</v>
      </c>
    </row>
    <row r="120" spans="7:23" ht="15" thickBot="1" x14ac:dyDescent="0.35">
      <c r="G120" s="2">
        <v>433.58</v>
      </c>
      <c r="H120" s="2">
        <v>1014.22</v>
      </c>
      <c r="V120" s="38">
        <f>Sales_Data!E119</f>
        <v>1014.22</v>
      </c>
      <c r="W120" s="38">
        <f>Sales_Data!I119</f>
        <v>433.58</v>
      </c>
    </row>
    <row r="121" spans="7:23" ht="15" thickBot="1" x14ac:dyDescent="0.35">
      <c r="G121" s="2">
        <v>343.6</v>
      </c>
      <c r="H121" s="2">
        <v>1010.58</v>
      </c>
      <c r="V121" s="38">
        <f>Sales_Data!E120</f>
        <v>1010.58</v>
      </c>
      <c r="W121" s="38">
        <f>Sales_Data!I120</f>
        <v>343.6</v>
      </c>
    </row>
    <row r="122" spans="7:23" ht="15" thickBot="1" x14ac:dyDescent="0.35">
      <c r="G122" s="2">
        <v>318.3</v>
      </c>
      <c r="H122" s="2">
        <v>957.29</v>
      </c>
      <c r="V122" s="38">
        <f>Sales_Data!E121</f>
        <v>957.29</v>
      </c>
      <c r="W122" s="38">
        <f>Sales_Data!I121</f>
        <v>318.3</v>
      </c>
    </row>
    <row r="123" spans="7:23" ht="15" thickBot="1" x14ac:dyDescent="0.35">
      <c r="G123" s="2">
        <v>358.41</v>
      </c>
      <c r="H123" s="2">
        <v>1077.92</v>
      </c>
      <c r="V123" s="38">
        <f>Sales_Data!E122</f>
        <v>1077.92</v>
      </c>
      <c r="W123" s="38">
        <f>Sales_Data!I122</f>
        <v>358.41</v>
      </c>
    </row>
    <row r="124" spans="7:23" ht="15" thickBot="1" x14ac:dyDescent="0.35">
      <c r="G124" s="2">
        <v>581.5</v>
      </c>
      <c r="H124" s="2">
        <v>1163.01</v>
      </c>
      <c r="V124" s="38">
        <f>Sales_Data!E123</f>
        <v>1163.01</v>
      </c>
      <c r="W124" s="38">
        <f>Sales_Data!I123</f>
        <v>581.5</v>
      </c>
    </row>
    <row r="125" spans="7:23" ht="15" thickBot="1" x14ac:dyDescent="0.35">
      <c r="G125" s="2">
        <v>410.9</v>
      </c>
      <c r="H125" s="2">
        <v>1014.56</v>
      </c>
      <c r="V125" s="38">
        <f>Sales_Data!E124</f>
        <v>1014.56</v>
      </c>
      <c r="W125" s="38">
        <f>Sales_Data!I124</f>
        <v>410.9</v>
      </c>
    </row>
    <row r="126" spans="7:23" ht="15" thickBot="1" x14ac:dyDescent="0.35">
      <c r="G126" s="2">
        <v>179.51</v>
      </c>
      <c r="H126" s="2">
        <v>718.04</v>
      </c>
      <c r="V126" s="38">
        <f>Sales_Data!E125</f>
        <v>718.04</v>
      </c>
      <c r="W126" s="38">
        <f>Sales_Data!I125</f>
        <v>179.51</v>
      </c>
    </row>
    <row r="127" spans="7:23" ht="15" thickBot="1" x14ac:dyDescent="0.35">
      <c r="G127" s="2">
        <v>511.14</v>
      </c>
      <c r="H127" s="2">
        <v>1277.8499999999999</v>
      </c>
      <c r="V127" s="38">
        <f>Sales_Data!E126</f>
        <v>1277.8499999999999</v>
      </c>
      <c r="W127" s="38">
        <f>Sales_Data!I126</f>
        <v>511.14</v>
      </c>
    </row>
    <row r="128" spans="7:23" ht="15" thickBot="1" x14ac:dyDescent="0.35">
      <c r="G128" s="2">
        <v>150.18</v>
      </c>
      <c r="H128" s="2">
        <v>706.73</v>
      </c>
      <c r="V128" s="38">
        <f>Sales_Data!E127</f>
        <v>706.73</v>
      </c>
      <c r="W128" s="38">
        <f>Sales_Data!I127</f>
        <v>150.18</v>
      </c>
    </row>
    <row r="129" spans="7:23" ht="15" thickBot="1" x14ac:dyDescent="0.35">
      <c r="G129" s="2">
        <v>352.65</v>
      </c>
      <c r="H129" s="2">
        <v>1410.59</v>
      </c>
      <c r="V129" s="38">
        <f>Sales_Data!E128</f>
        <v>1410.59</v>
      </c>
      <c r="W129" s="38">
        <f>Sales_Data!I128</f>
        <v>352.65</v>
      </c>
    </row>
    <row r="130" spans="7:23" ht="15" thickBot="1" x14ac:dyDescent="0.35">
      <c r="G130" s="2">
        <v>472.62</v>
      </c>
      <c r="H130" s="2">
        <v>1350.33</v>
      </c>
      <c r="V130" s="38">
        <f>Sales_Data!E129</f>
        <v>1350.33</v>
      </c>
      <c r="W130" s="38">
        <f>Sales_Data!I129</f>
        <v>472.62</v>
      </c>
    </row>
    <row r="131" spans="7:23" ht="15" thickBot="1" x14ac:dyDescent="0.35">
      <c r="G131" s="2">
        <v>195.33</v>
      </c>
      <c r="H131" s="2">
        <v>919.18</v>
      </c>
      <c r="V131" s="38">
        <f>Sales_Data!E130</f>
        <v>919.18</v>
      </c>
      <c r="W131" s="38">
        <f>Sales_Data!I130</f>
        <v>195.33</v>
      </c>
    </row>
    <row r="132" spans="7:23" ht="15" thickBot="1" x14ac:dyDescent="0.35">
      <c r="G132" s="2">
        <v>64.63</v>
      </c>
      <c r="H132" s="2">
        <v>258.51</v>
      </c>
      <c r="V132" s="38">
        <f>Sales_Data!E131</f>
        <v>258.51</v>
      </c>
      <c r="W132" s="38">
        <f>Sales_Data!I131</f>
        <v>64.63</v>
      </c>
    </row>
    <row r="133" spans="7:23" ht="15" thickBot="1" x14ac:dyDescent="0.35">
      <c r="G133" s="2">
        <v>461.12</v>
      </c>
      <c r="H133" s="2">
        <v>1213.48</v>
      </c>
      <c r="V133" s="38">
        <f>Sales_Data!E132</f>
        <v>1213.48</v>
      </c>
      <c r="W133" s="38">
        <f>Sales_Data!I132</f>
        <v>461.12</v>
      </c>
    </row>
    <row r="134" spans="7:23" ht="15" thickBot="1" x14ac:dyDescent="0.35">
      <c r="G134" s="2">
        <v>437.11</v>
      </c>
      <c r="H134" s="2">
        <v>1150.28</v>
      </c>
      <c r="V134" s="38">
        <f>Sales_Data!E133</f>
        <v>1150.28</v>
      </c>
      <c r="W134" s="38">
        <f>Sales_Data!I133</f>
        <v>437.11</v>
      </c>
    </row>
    <row r="135" spans="7:23" ht="15" thickBot="1" x14ac:dyDescent="0.35">
      <c r="G135" s="2">
        <v>268.97000000000003</v>
      </c>
      <c r="H135" s="2">
        <v>853.86</v>
      </c>
      <c r="V135" s="38">
        <f>Sales_Data!E134</f>
        <v>853.86</v>
      </c>
      <c r="W135" s="38">
        <f>Sales_Data!I134</f>
        <v>268.97000000000003</v>
      </c>
    </row>
    <row r="136" spans="7:23" ht="15" thickBot="1" x14ac:dyDescent="0.35">
      <c r="G136" s="2">
        <v>265.26</v>
      </c>
      <c r="H136" s="2">
        <v>1061.04</v>
      </c>
      <c r="V136" s="38">
        <f>Sales_Data!E135</f>
        <v>1061.04</v>
      </c>
      <c r="W136" s="38">
        <f>Sales_Data!I135</f>
        <v>265.26</v>
      </c>
    </row>
    <row r="137" spans="7:23" ht="15" thickBot="1" x14ac:dyDescent="0.35">
      <c r="G137" s="2">
        <v>178.91</v>
      </c>
      <c r="H137" s="2">
        <v>894.55</v>
      </c>
      <c r="V137" s="38">
        <f>Sales_Data!E136</f>
        <v>894.55</v>
      </c>
      <c r="W137" s="38">
        <f>Sales_Data!I136</f>
        <v>178.91</v>
      </c>
    </row>
    <row r="138" spans="7:23" ht="15" thickBot="1" x14ac:dyDescent="0.35">
      <c r="G138" s="2">
        <v>356.5</v>
      </c>
      <c r="H138" s="2">
        <v>833.91</v>
      </c>
      <c r="V138" s="38">
        <f>Sales_Data!E137</f>
        <v>833.91</v>
      </c>
      <c r="W138" s="38">
        <f>Sales_Data!I137</f>
        <v>356.5</v>
      </c>
    </row>
    <row r="139" spans="7:23" ht="15" thickBot="1" x14ac:dyDescent="0.35">
      <c r="G139" s="2">
        <v>229.65</v>
      </c>
      <c r="H139" s="2">
        <v>820.19</v>
      </c>
      <c r="V139" s="38">
        <f>Sales_Data!E138</f>
        <v>820.19</v>
      </c>
      <c r="W139" s="38">
        <f>Sales_Data!I138</f>
        <v>229.65</v>
      </c>
    </row>
    <row r="140" spans="7:23" ht="15" thickBot="1" x14ac:dyDescent="0.35">
      <c r="G140" s="2">
        <v>121.54</v>
      </c>
      <c r="H140" s="2">
        <v>511.74</v>
      </c>
      <c r="V140" s="38">
        <f>Sales_Data!E139</f>
        <v>511.74</v>
      </c>
      <c r="W140" s="38">
        <f>Sales_Data!I139</f>
        <v>121.54</v>
      </c>
    </row>
    <row r="141" spans="7:23" ht="15" thickBot="1" x14ac:dyDescent="0.35">
      <c r="G141" s="2">
        <v>268</v>
      </c>
      <c r="H141" s="2">
        <v>806.03</v>
      </c>
      <c r="V141" s="38">
        <f>Sales_Data!E140</f>
        <v>806.03</v>
      </c>
      <c r="W141" s="38">
        <f>Sales_Data!I140</f>
        <v>268</v>
      </c>
    </row>
    <row r="142" spans="7:23" ht="15" thickBot="1" x14ac:dyDescent="0.35">
      <c r="G142" s="2">
        <v>426.16</v>
      </c>
      <c r="H142" s="2">
        <v>1432.47</v>
      </c>
      <c r="V142" s="38">
        <f>Sales_Data!E141</f>
        <v>1432.47</v>
      </c>
      <c r="W142" s="38">
        <f>Sales_Data!I141</f>
        <v>426.16</v>
      </c>
    </row>
    <row r="143" spans="7:23" ht="15" thickBot="1" x14ac:dyDescent="0.35">
      <c r="G143" s="2">
        <v>316.32</v>
      </c>
      <c r="H143" s="2">
        <v>1488.58</v>
      </c>
      <c r="V143" s="38">
        <f>Sales_Data!E142</f>
        <v>1488.58</v>
      </c>
      <c r="W143" s="38">
        <f>Sales_Data!I142</f>
        <v>316.32</v>
      </c>
    </row>
    <row r="144" spans="7:23" ht="15" thickBot="1" x14ac:dyDescent="0.35">
      <c r="G144" s="2">
        <v>492.5</v>
      </c>
      <c r="H144" s="2">
        <v>1231.26</v>
      </c>
      <c r="V144" s="38">
        <f>Sales_Data!E143</f>
        <v>1231.26</v>
      </c>
      <c r="W144" s="38">
        <f>Sales_Data!I143</f>
        <v>492.5</v>
      </c>
    </row>
    <row r="145" spans="7:23" ht="15" thickBot="1" x14ac:dyDescent="0.35">
      <c r="G145" s="2">
        <v>232.33</v>
      </c>
      <c r="H145" s="2">
        <v>1161.67</v>
      </c>
      <c r="V145" s="38">
        <f>Sales_Data!E144</f>
        <v>1161.67</v>
      </c>
      <c r="W145" s="38">
        <f>Sales_Data!I144</f>
        <v>232.33</v>
      </c>
    </row>
    <row r="146" spans="7:23" ht="15" thickBot="1" x14ac:dyDescent="0.35">
      <c r="G146" s="2">
        <v>165.97</v>
      </c>
      <c r="H146" s="2">
        <v>388.23</v>
      </c>
      <c r="V146" s="38">
        <f>Sales_Data!E145</f>
        <v>388.23</v>
      </c>
      <c r="W146" s="38">
        <f>Sales_Data!I145</f>
        <v>165.97</v>
      </c>
    </row>
    <row r="147" spans="7:23" ht="15" thickBot="1" x14ac:dyDescent="0.35">
      <c r="G147" s="2">
        <v>675.5</v>
      </c>
      <c r="H147" s="2">
        <v>1589.42</v>
      </c>
      <c r="V147" s="38">
        <f>Sales_Data!E146</f>
        <v>1589.42</v>
      </c>
      <c r="W147" s="38">
        <f>Sales_Data!I146</f>
        <v>675.5</v>
      </c>
    </row>
    <row r="148" spans="7:23" ht="15" thickBot="1" x14ac:dyDescent="0.35">
      <c r="G148" s="2">
        <v>134.66</v>
      </c>
      <c r="H148" s="2">
        <v>336.66</v>
      </c>
      <c r="V148" s="38">
        <f>Sales_Data!E147</f>
        <v>336.66</v>
      </c>
      <c r="W148" s="38">
        <f>Sales_Data!I147</f>
        <v>134.66</v>
      </c>
    </row>
    <row r="149" spans="7:23" ht="15" thickBot="1" x14ac:dyDescent="0.35">
      <c r="G149" s="2">
        <v>487.36</v>
      </c>
      <c r="H149" s="2">
        <v>1353.79</v>
      </c>
      <c r="V149" s="38">
        <f>Sales_Data!E148</f>
        <v>1353.79</v>
      </c>
      <c r="W149" s="38">
        <f>Sales_Data!I148</f>
        <v>487.36</v>
      </c>
    </row>
    <row r="150" spans="7:23" ht="15" thickBot="1" x14ac:dyDescent="0.35">
      <c r="G150" s="2">
        <v>314.74</v>
      </c>
      <c r="H150" s="2">
        <v>662.61</v>
      </c>
      <c r="V150" s="38">
        <f>Sales_Data!E149</f>
        <v>662.61</v>
      </c>
      <c r="W150" s="38">
        <f>Sales_Data!I149</f>
        <v>314.74</v>
      </c>
    </row>
    <row r="151" spans="7:23" ht="15" thickBot="1" x14ac:dyDescent="0.35">
      <c r="G151" s="2">
        <v>111.39</v>
      </c>
      <c r="H151" s="2">
        <v>309.42</v>
      </c>
      <c r="V151" s="38">
        <f>Sales_Data!E150</f>
        <v>309.42</v>
      </c>
      <c r="W151" s="38">
        <f>Sales_Data!I150</f>
        <v>111.39</v>
      </c>
    </row>
    <row r="152" spans="7:23" ht="15" thickBot="1" x14ac:dyDescent="0.35">
      <c r="G152" s="2">
        <v>318.47000000000003</v>
      </c>
      <c r="H152" s="2">
        <v>884.63</v>
      </c>
      <c r="V152" s="38">
        <f>Sales_Data!E151</f>
        <v>884.63</v>
      </c>
      <c r="W152" s="38">
        <f>Sales_Data!I151</f>
        <v>318.47000000000003</v>
      </c>
    </row>
    <row r="153" spans="7:23" ht="15" thickBot="1" x14ac:dyDescent="0.35">
      <c r="G153" s="2">
        <v>301.75</v>
      </c>
      <c r="H153" s="2">
        <v>745.05</v>
      </c>
      <c r="V153" s="38">
        <f>Sales_Data!E152</f>
        <v>745.05</v>
      </c>
      <c r="W153" s="38">
        <f>Sales_Data!I152</f>
        <v>301.75</v>
      </c>
    </row>
    <row r="154" spans="7:23" ht="15" thickBot="1" x14ac:dyDescent="0.35">
      <c r="G154" s="2">
        <v>413.36</v>
      </c>
      <c r="H154" s="2">
        <v>870.23</v>
      </c>
      <c r="V154" s="38">
        <f>Sales_Data!E153</f>
        <v>870.23</v>
      </c>
      <c r="W154" s="38">
        <f>Sales_Data!I153</f>
        <v>413.36</v>
      </c>
    </row>
    <row r="155" spans="7:23" ht="15" thickBot="1" x14ac:dyDescent="0.35">
      <c r="G155" s="2">
        <v>286.68</v>
      </c>
      <c r="H155" s="2">
        <v>862.19</v>
      </c>
      <c r="V155" s="38">
        <f>Sales_Data!E154</f>
        <v>862.19</v>
      </c>
      <c r="W155" s="38">
        <f>Sales_Data!I154</f>
        <v>286.68</v>
      </c>
    </row>
    <row r="156" spans="7:23" ht="15" thickBot="1" x14ac:dyDescent="0.35">
      <c r="G156" s="2">
        <v>556.30999999999995</v>
      </c>
      <c r="H156" s="2">
        <v>1171.18</v>
      </c>
      <c r="V156" s="38">
        <f>Sales_Data!E155</f>
        <v>1171.18</v>
      </c>
      <c r="W156" s="38">
        <f>Sales_Data!I155</f>
        <v>556.30999999999995</v>
      </c>
    </row>
    <row r="157" spans="7:23" ht="15" thickBot="1" x14ac:dyDescent="0.35">
      <c r="G157" s="2">
        <v>332.19</v>
      </c>
      <c r="H157" s="2">
        <v>1054.56</v>
      </c>
      <c r="V157" s="38">
        <f>Sales_Data!E156</f>
        <v>1054.56</v>
      </c>
      <c r="W157" s="38">
        <f>Sales_Data!I156</f>
        <v>332.19</v>
      </c>
    </row>
    <row r="158" spans="7:23" ht="15" thickBot="1" x14ac:dyDescent="0.35">
      <c r="G158" s="2">
        <v>336.24</v>
      </c>
      <c r="H158" s="2">
        <v>1681.21</v>
      </c>
      <c r="V158" s="38">
        <f>Sales_Data!E157</f>
        <v>1681.21</v>
      </c>
      <c r="W158" s="38">
        <f>Sales_Data!I157</f>
        <v>336.24</v>
      </c>
    </row>
    <row r="159" spans="7:23" ht="15" thickBot="1" x14ac:dyDescent="0.35">
      <c r="G159" s="2">
        <v>180.39</v>
      </c>
      <c r="H159" s="2">
        <v>379.77</v>
      </c>
      <c r="V159" s="38">
        <f>Sales_Data!E158</f>
        <v>379.77</v>
      </c>
      <c r="W159" s="38">
        <f>Sales_Data!I158</f>
        <v>180.39</v>
      </c>
    </row>
    <row r="160" spans="7:23" ht="15" thickBot="1" x14ac:dyDescent="0.35">
      <c r="G160" s="2">
        <v>484.35</v>
      </c>
      <c r="H160" s="2">
        <v>1076.33</v>
      </c>
      <c r="V160" s="38">
        <f>Sales_Data!E159</f>
        <v>1076.33</v>
      </c>
      <c r="W160" s="38">
        <f>Sales_Data!I159</f>
        <v>484.35</v>
      </c>
    </row>
    <row r="161" spans="7:23" ht="15" thickBot="1" x14ac:dyDescent="0.35">
      <c r="G161" s="2">
        <v>562.82000000000005</v>
      </c>
      <c r="H161" s="2">
        <v>1250.71</v>
      </c>
      <c r="V161" s="38">
        <f>Sales_Data!E160</f>
        <v>1250.71</v>
      </c>
      <c r="W161" s="38">
        <f>Sales_Data!I160</f>
        <v>562.82000000000005</v>
      </c>
    </row>
    <row r="162" spans="7:23" ht="15" thickBot="1" x14ac:dyDescent="0.35">
      <c r="G162" s="2">
        <v>447.34</v>
      </c>
      <c r="H162" s="2">
        <v>1118.3399999999999</v>
      </c>
      <c r="V162" s="38">
        <f>Sales_Data!E161</f>
        <v>1118.3399999999999</v>
      </c>
      <c r="W162" s="38">
        <f>Sales_Data!I161</f>
        <v>447.34</v>
      </c>
    </row>
    <row r="163" spans="7:23" ht="15" thickBot="1" x14ac:dyDescent="0.35">
      <c r="G163" s="2">
        <v>649.04999999999995</v>
      </c>
      <c r="H163" s="2">
        <v>1622.62</v>
      </c>
      <c r="V163" s="38">
        <f>Sales_Data!E162</f>
        <v>1622.62</v>
      </c>
      <c r="W163" s="38">
        <f>Sales_Data!I162</f>
        <v>649.04999999999995</v>
      </c>
    </row>
    <row r="164" spans="7:23" ht="15" thickBot="1" x14ac:dyDescent="0.35">
      <c r="G164" s="2">
        <v>205</v>
      </c>
      <c r="H164" s="2">
        <v>640.64</v>
      </c>
      <c r="V164" s="38">
        <f>Sales_Data!E163</f>
        <v>640.64</v>
      </c>
      <c r="W164" s="38">
        <f>Sales_Data!I163</f>
        <v>205</v>
      </c>
    </row>
    <row r="165" spans="7:23" ht="15" thickBot="1" x14ac:dyDescent="0.35">
      <c r="G165" s="2">
        <v>263.32</v>
      </c>
      <c r="H165" s="2">
        <v>585.16</v>
      </c>
      <c r="V165" s="38">
        <f>Sales_Data!E164</f>
        <v>585.16</v>
      </c>
      <c r="W165" s="38">
        <f>Sales_Data!I164</f>
        <v>263.32</v>
      </c>
    </row>
    <row r="166" spans="7:23" ht="15" thickBot="1" x14ac:dyDescent="0.35">
      <c r="G166" s="2">
        <v>443.99</v>
      </c>
      <c r="H166" s="2">
        <v>1109.98</v>
      </c>
      <c r="V166" s="38">
        <f>Sales_Data!E165</f>
        <v>1109.98</v>
      </c>
      <c r="W166" s="38">
        <f>Sales_Data!I165</f>
        <v>443.99</v>
      </c>
    </row>
    <row r="167" spans="7:23" ht="15" thickBot="1" x14ac:dyDescent="0.35">
      <c r="G167" s="2">
        <v>395.31</v>
      </c>
      <c r="H167" s="2">
        <v>1098.08</v>
      </c>
      <c r="V167" s="38">
        <f>Sales_Data!E166</f>
        <v>1098.08</v>
      </c>
      <c r="W167" s="38">
        <f>Sales_Data!I166</f>
        <v>395.31</v>
      </c>
    </row>
    <row r="168" spans="7:23" ht="15" thickBot="1" x14ac:dyDescent="0.35">
      <c r="G168" s="2">
        <v>335.04</v>
      </c>
      <c r="H168" s="2">
        <v>827.25</v>
      </c>
      <c r="V168" s="38">
        <f>Sales_Data!E167</f>
        <v>827.25</v>
      </c>
      <c r="W168" s="38">
        <f>Sales_Data!I167</f>
        <v>335.04</v>
      </c>
    </row>
    <row r="169" spans="7:23" ht="15" thickBot="1" x14ac:dyDescent="0.35">
      <c r="G169" s="2">
        <v>333.85</v>
      </c>
      <c r="H169" s="2">
        <v>741.88</v>
      </c>
      <c r="V169" s="38">
        <f>Sales_Data!E168</f>
        <v>741.88</v>
      </c>
      <c r="W169" s="38">
        <f>Sales_Data!I168</f>
        <v>333.85</v>
      </c>
    </row>
    <row r="170" spans="7:23" ht="15" thickBot="1" x14ac:dyDescent="0.35">
      <c r="G170" s="2">
        <v>531.05999999999995</v>
      </c>
      <c r="H170" s="2">
        <v>1311.26</v>
      </c>
      <c r="V170" s="38">
        <f>Sales_Data!E169</f>
        <v>1311.26</v>
      </c>
      <c r="W170" s="38">
        <f>Sales_Data!I169</f>
        <v>531.05999999999995</v>
      </c>
    </row>
    <row r="171" spans="7:23" ht="15" thickBot="1" x14ac:dyDescent="0.35">
      <c r="G171" s="2">
        <v>232.19</v>
      </c>
      <c r="H171" s="2">
        <v>573.32000000000005</v>
      </c>
      <c r="V171" s="38">
        <f>Sales_Data!E170</f>
        <v>573.32000000000005</v>
      </c>
      <c r="W171" s="38">
        <f>Sales_Data!I170</f>
        <v>232.19</v>
      </c>
    </row>
    <row r="172" spans="7:23" ht="15" thickBot="1" x14ac:dyDescent="0.35">
      <c r="G172" s="2">
        <v>223.04</v>
      </c>
      <c r="H172" s="2">
        <v>1115.22</v>
      </c>
      <c r="V172" s="38">
        <f>Sales_Data!E171</f>
        <v>1115.22</v>
      </c>
      <c r="W172" s="38">
        <f>Sales_Data!I171</f>
        <v>223.04</v>
      </c>
    </row>
    <row r="173" spans="7:23" ht="15" thickBot="1" x14ac:dyDescent="0.35">
      <c r="G173" s="2">
        <v>422.92</v>
      </c>
      <c r="H173" s="2">
        <v>845.84</v>
      </c>
      <c r="V173" s="38">
        <f>Sales_Data!E172</f>
        <v>845.84</v>
      </c>
      <c r="W173" s="38">
        <f>Sales_Data!I172</f>
        <v>422.92</v>
      </c>
    </row>
    <row r="174" spans="7:23" ht="15" thickBot="1" x14ac:dyDescent="0.35">
      <c r="G174" s="2">
        <v>257.45</v>
      </c>
      <c r="H174" s="2">
        <v>1029.8</v>
      </c>
      <c r="V174" s="38">
        <f>Sales_Data!E173</f>
        <v>1029.8</v>
      </c>
      <c r="W174" s="38">
        <f>Sales_Data!I173</f>
        <v>257.45</v>
      </c>
    </row>
    <row r="175" spans="7:23" ht="15" thickBot="1" x14ac:dyDescent="0.35">
      <c r="G175" s="2">
        <v>380.75</v>
      </c>
      <c r="H175" s="2">
        <v>1189.83</v>
      </c>
      <c r="V175" s="38">
        <f>Sales_Data!E174</f>
        <v>1189.83</v>
      </c>
      <c r="W175" s="38">
        <f>Sales_Data!I174</f>
        <v>380.75</v>
      </c>
    </row>
    <row r="176" spans="7:23" ht="15" thickBot="1" x14ac:dyDescent="0.35">
      <c r="G176" s="2">
        <v>225.37</v>
      </c>
      <c r="H176" s="2">
        <v>704.28</v>
      </c>
      <c r="V176" s="38">
        <f>Sales_Data!E175</f>
        <v>704.28</v>
      </c>
      <c r="W176" s="38">
        <f>Sales_Data!I175</f>
        <v>225.37</v>
      </c>
    </row>
    <row r="177" spans="7:23" ht="15" thickBot="1" x14ac:dyDescent="0.35">
      <c r="G177" s="2">
        <v>582.55999999999995</v>
      </c>
      <c r="H177" s="2">
        <v>1618.22</v>
      </c>
      <c r="V177" s="38">
        <f>Sales_Data!E176</f>
        <v>1618.22</v>
      </c>
      <c r="W177" s="38">
        <f>Sales_Data!I176</f>
        <v>582.55999999999995</v>
      </c>
    </row>
    <row r="178" spans="7:23" ht="15" thickBot="1" x14ac:dyDescent="0.35">
      <c r="G178" s="2">
        <v>344.91</v>
      </c>
      <c r="H178" s="2">
        <v>1014.43</v>
      </c>
      <c r="V178" s="38">
        <f>Sales_Data!E177</f>
        <v>1014.43</v>
      </c>
      <c r="W178" s="38">
        <f>Sales_Data!I177</f>
        <v>344.91</v>
      </c>
    </row>
    <row r="179" spans="7:23" ht="15" thickBot="1" x14ac:dyDescent="0.35">
      <c r="G179" s="2">
        <v>330.79</v>
      </c>
      <c r="H179" s="2">
        <v>826.97</v>
      </c>
      <c r="V179" s="38">
        <f>Sales_Data!E178</f>
        <v>826.97</v>
      </c>
      <c r="W179" s="38">
        <f>Sales_Data!I178</f>
        <v>330.79</v>
      </c>
    </row>
    <row r="180" spans="7:23" ht="15" thickBot="1" x14ac:dyDescent="0.35">
      <c r="G180" s="2">
        <v>460</v>
      </c>
      <c r="H180" s="2">
        <v>1022.23</v>
      </c>
      <c r="V180" s="38">
        <f>Sales_Data!E179</f>
        <v>1022.23</v>
      </c>
      <c r="W180" s="38">
        <f>Sales_Data!I179</f>
        <v>460</v>
      </c>
    </row>
    <row r="181" spans="7:23" ht="15" thickBot="1" x14ac:dyDescent="0.35">
      <c r="G181" s="2">
        <v>439.88</v>
      </c>
      <c r="H181" s="2">
        <v>1099.69</v>
      </c>
      <c r="V181" s="38">
        <f>Sales_Data!E180</f>
        <v>1099.69</v>
      </c>
      <c r="W181" s="38">
        <f>Sales_Data!I180</f>
        <v>439.88</v>
      </c>
    </row>
    <row r="182" spans="7:23" ht="15" thickBot="1" x14ac:dyDescent="0.35">
      <c r="G182" s="2">
        <v>255.79</v>
      </c>
      <c r="H182" s="2">
        <v>710.52</v>
      </c>
      <c r="V182" s="38">
        <f>Sales_Data!E181</f>
        <v>710.52</v>
      </c>
      <c r="W182" s="38">
        <f>Sales_Data!I181</f>
        <v>255.79</v>
      </c>
    </row>
    <row r="183" spans="7:23" ht="15" thickBot="1" x14ac:dyDescent="0.35">
      <c r="G183" s="2">
        <v>159.74</v>
      </c>
      <c r="H183" s="2">
        <v>499.18</v>
      </c>
      <c r="V183" s="38">
        <f>Sales_Data!E182</f>
        <v>499.18</v>
      </c>
      <c r="W183" s="38">
        <f>Sales_Data!I182</f>
        <v>159.74</v>
      </c>
    </row>
    <row r="184" spans="7:23" ht="15" thickBot="1" x14ac:dyDescent="0.35">
      <c r="G184" s="2">
        <v>404.39</v>
      </c>
      <c r="H184" s="2">
        <v>1064.19</v>
      </c>
      <c r="V184" s="38">
        <f>Sales_Data!E183</f>
        <v>1064.19</v>
      </c>
      <c r="W184" s="38">
        <f>Sales_Data!I183</f>
        <v>404.39</v>
      </c>
    </row>
    <row r="185" spans="7:23" ht="15" thickBot="1" x14ac:dyDescent="0.35">
      <c r="G185" s="2">
        <v>187.57</v>
      </c>
      <c r="H185" s="2">
        <v>438.76</v>
      </c>
      <c r="V185" s="38">
        <f>Sales_Data!E184</f>
        <v>438.76</v>
      </c>
      <c r="W185" s="38">
        <f>Sales_Data!I184</f>
        <v>187.57</v>
      </c>
    </row>
    <row r="186" spans="7:23" ht="15" thickBot="1" x14ac:dyDescent="0.35">
      <c r="G186" s="2">
        <v>410.87</v>
      </c>
      <c r="H186" s="2">
        <v>864.98</v>
      </c>
      <c r="V186" s="38">
        <f>Sales_Data!E185</f>
        <v>864.98</v>
      </c>
      <c r="W186" s="38">
        <f>Sales_Data!I185</f>
        <v>410.87</v>
      </c>
    </row>
    <row r="187" spans="7:23" ht="15" thickBot="1" x14ac:dyDescent="0.35">
      <c r="G187" s="2">
        <v>275.77999999999997</v>
      </c>
      <c r="H187" s="2">
        <v>984.93</v>
      </c>
      <c r="V187" s="38">
        <f>Sales_Data!E186</f>
        <v>984.93</v>
      </c>
      <c r="W187" s="38">
        <f>Sales_Data!I186</f>
        <v>275.77999999999997</v>
      </c>
    </row>
    <row r="188" spans="7:23" ht="15" thickBot="1" x14ac:dyDescent="0.35">
      <c r="G188" s="2">
        <v>746.74</v>
      </c>
      <c r="H188" s="2">
        <v>1493.49</v>
      </c>
      <c r="V188" s="38">
        <f>Sales_Data!E187</f>
        <v>1493.49</v>
      </c>
      <c r="W188" s="38">
        <f>Sales_Data!I187</f>
        <v>746.74</v>
      </c>
    </row>
    <row r="189" spans="7:23" ht="15" thickBot="1" x14ac:dyDescent="0.35">
      <c r="G189" s="2">
        <v>310.24</v>
      </c>
      <c r="H189" s="2">
        <v>689.43</v>
      </c>
      <c r="V189" s="38">
        <f>Sales_Data!E188</f>
        <v>689.43</v>
      </c>
      <c r="W189" s="38">
        <f>Sales_Data!I188</f>
        <v>310.24</v>
      </c>
    </row>
    <row r="190" spans="7:23" ht="15" thickBot="1" x14ac:dyDescent="0.35">
      <c r="G190" s="2">
        <v>341.12</v>
      </c>
      <c r="H190" s="2">
        <v>682.24</v>
      </c>
      <c r="V190" s="38">
        <f>Sales_Data!E189</f>
        <v>682.24</v>
      </c>
      <c r="W190" s="38">
        <f>Sales_Data!I189</f>
        <v>341.12</v>
      </c>
    </row>
    <row r="191" spans="7:23" ht="15" thickBot="1" x14ac:dyDescent="0.35">
      <c r="G191" s="2">
        <v>91.71</v>
      </c>
      <c r="H191" s="2">
        <v>458.54</v>
      </c>
      <c r="V191" s="38">
        <f>Sales_Data!E190</f>
        <v>458.54</v>
      </c>
      <c r="W191" s="38">
        <f>Sales_Data!I190</f>
        <v>91.71</v>
      </c>
    </row>
    <row r="192" spans="7:23" ht="15" thickBot="1" x14ac:dyDescent="0.35">
      <c r="G192" s="2">
        <v>331.59</v>
      </c>
      <c r="H192" s="2">
        <v>1184.25</v>
      </c>
      <c r="V192" s="38">
        <f>Sales_Data!E191</f>
        <v>1184.25</v>
      </c>
      <c r="W192" s="38">
        <f>Sales_Data!I191</f>
        <v>331.59</v>
      </c>
    </row>
    <row r="193" spans="7:23" ht="15" thickBot="1" x14ac:dyDescent="0.35">
      <c r="G193" s="2">
        <v>381.07</v>
      </c>
      <c r="H193" s="2">
        <v>762.14</v>
      </c>
      <c r="V193" s="38">
        <f>Sales_Data!E192</f>
        <v>762.14</v>
      </c>
      <c r="W193" s="38">
        <f>Sales_Data!I192</f>
        <v>381.07</v>
      </c>
    </row>
    <row r="194" spans="7:23" ht="15" thickBot="1" x14ac:dyDescent="0.35">
      <c r="G194" s="2">
        <v>255.24</v>
      </c>
      <c r="H194" s="2">
        <v>750.71</v>
      </c>
      <c r="V194" s="38">
        <f>Sales_Data!E193</f>
        <v>750.71</v>
      </c>
      <c r="W194" s="38">
        <f>Sales_Data!I193</f>
        <v>255.24</v>
      </c>
    </row>
    <row r="195" spans="7:23" ht="15" thickBot="1" x14ac:dyDescent="0.35">
      <c r="G195" s="2">
        <v>692.05</v>
      </c>
      <c r="H195" s="2">
        <v>1456.94</v>
      </c>
      <c r="V195" s="38">
        <f>Sales_Data!E194</f>
        <v>1456.94</v>
      </c>
      <c r="W195" s="38">
        <f>Sales_Data!I194</f>
        <v>692.05</v>
      </c>
    </row>
    <row r="196" spans="7:23" ht="15" thickBot="1" x14ac:dyDescent="0.35">
      <c r="G196" s="2">
        <v>344.41</v>
      </c>
      <c r="H196" s="2">
        <v>1093.3800000000001</v>
      </c>
      <c r="V196" s="38">
        <f>Sales_Data!E195</f>
        <v>1093.3800000000001</v>
      </c>
      <c r="W196" s="38">
        <f>Sales_Data!I195</f>
        <v>344.41</v>
      </c>
    </row>
    <row r="197" spans="7:23" ht="15" thickBot="1" x14ac:dyDescent="0.35">
      <c r="G197" s="2">
        <v>397.06</v>
      </c>
      <c r="H197" s="2">
        <v>934.27</v>
      </c>
      <c r="V197" s="38">
        <f>Sales_Data!E196</f>
        <v>934.27</v>
      </c>
      <c r="W197" s="38">
        <f>Sales_Data!I196</f>
        <v>397.06</v>
      </c>
    </row>
    <row r="198" spans="7:23" ht="15" thickBot="1" x14ac:dyDescent="0.35">
      <c r="G198" s="2">
        <v>586.14</v>
      </c>
      <c r="H198" s="2">
        <v>1465.35</v>
      </c>
      <c r="V198" s="38">
        <f>Sales_Data!E197</f>
        <v>1465.35</v>
      </c>
      <c r="W198" s="38">
        <f>Sales_Data!I197</f>
        <v>586.14</v>
      </c>
    </row>
    <row r="199" spans="7:23" ht="15" thickBot="1" x14ac:dyDescent="0.35">
      <c r="G199" s="2">
        <v>333.36</v>
      </c>
      <c r="H199" s="2">
        <v>740.8</v>
      </c>
      <c r="V199" s="38">
        <f>Sales_Data!E198</f>
        <v>740.8</v>
      </c>
      <c r="W199" s="38">
        <f>Sales_Data!I198</f>
        <v>333.36</v>
      </c>
    </row>
    <row r="200" spans="7:23" ht="15" thickBot="1" x14ac:dyDescent="0.35">
      <c r="G200" s="2">
        <v>245.45</v>
      </c>
      <c r="H200" s="2">
        <v>545.44000000000005</v>
      </c>
      <c r="V200" s="38">
        <f>Sales_Data!E199</f>
        <v>545.44000000000005</v>
      </c>
      <c r="W200" s="38">
        <f>Sales_Data!I199</f>
        <v>245.45</v>
      </c>
    </row>
    <row r="201" spans="7:23" ht="15" thickBot="1" x14ac:dyDescent="0.35">
      <c r="G201" s="2">
        <v>379.09</v>
      </c>
      <c r="H201" s="2">
        <v>997.61</v>
      </c>
      <c r="V201" s="38">
        <f>Sales_Data!E200</f>
        <v>997.61</v>
      </c>
      <c r="W201" s="38">
        <f>Sales_Data!I200</f>
        <v>379.09</v>
      </c>
    </row>
    <row r="202" spans="7:23" ht="15" thickBot="1" x14ac:dyDescent="0.35">
      <c r="G202" s="2">
        <v>440.95</v>
      </c>
      <c r="H202" s="2">
        <v>928.32</v>
      </c>
      <c r="V202" s="38">
        <f>Sales_Data!E201</f>
        <v>928.32</v>
      </c>
      <c r="W202" s="38">
        <f>Sales_Data!I201</f>
        <v>440.95</v>
      </c>
    </row>
  </sheetData>
  <mergeCells count="10">
    <mergeCell ref="J24:K24"/>
    <mergeCell ref="M24:O24"/>
    <mergeCell ref="V1:W1"/>
    <mergeCell ref="Y1:AA1"/>
    <mergeCell ref="AC1:AD1"/>
    <mergeCell ref="AF5:AG5"/>
    <mergeCell ref="A1:B1"/>
    <mergeCell ref="D1:E1"/>
    <mergeCell ref="G1:H1"/>
    <mergeCell ref="J1:S1"/>
  </mergeCells>
  <conditionalFormatting sqref="B3:B32">
    <cfRule type="top10" dxfId="0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7407-B377-47C7-885C-224ED85D52D1}">
  <dimension ref="A1:I10"/>
  <sheetViews>
    <sheetView zoomScale="32" workbookViewId="0">
      <selection activeCell="L62" sqref="L62"/>
    </sheetView>
  </sheetViews>
  <sheetFormatPr defaultRowHeight="14.4" x14ac:dyDescent="0.3"/>
  <cols>
    <col min="1" max="1" width="12.44140625" bestFit="1" customWidth="1"/>
    <col min="2" max="2" width="11.5546875" bestFit="1" customWidth="1"/>
    <col min="8" max="9" width="20" customWidth="1"/>
  </cols>
  <sheetData>
    <row r="1" spans="1:9" x14ac:dyDescent="0.3">
      <c r="A1" s="65" t="s">
        <v>139</v>
      </c>
      <c r="B1" t="s">
        <v>141</v>
      </c>
    </row>
    <row r="2" spans="1:9" x14ac:dyDescent="0.3">
      <c r="A2" s="66" t="s">
        <v>34</v>
      </c>
      <c r="B2" s="67">
        <v>43468.33</v>
      </c>
      <c r="H2" s="65" t="s">
        <v>139</v>
      </c>
      <c r="I2" t="s">
        <v>141</v>
      </c>
    </row>
    <row r="3" spans="1:9" x14ac:dyDescent="0.3">
      <c r="A3" s="66" t="s">
        <v>18</v>
      </c>
      <c r="B3" s="67">
        <v>32441.64</v>
      </c>
      <c r="H3" s="66" t="s">
        <v>163</v>
      </c>
      <c r="I3" s="67">
        <v>145429.36000000002</v>
      </c>
    </row>
    <row r="4" spans="1:9" x14ac:dyDescent="0.3">
      <c r="A4" s="66" t="s">
        <v>24</v>
      </c>
      <c r="B4" s="67">
        <v>34975.42</v>
      </c>
      <c r="H4" s="96" t="s">
        <v>165</v>
      </c>
      <c r="I4" s="67">
        <v>57724.80999999999</v>
      </c>
    </row>
    <row r="5" spans="1:9" x14ac:dyDescent="0.3">
      <c r="A5" s="66" t="s">
        <v>20</v>
      </c>
      <c r="B5" s="67">
        <v>40248.79</v>
      </c>
      <c r="H5" s="96" t="s">
        <v>166</v>
      </c>
      <c r="I5" s="67">
        <v>42234.240000000013</v>
      </c>
    </row>
    <row r="6" spans="1:9" x14ac:dyDescent="0.3">
      <c r="A6" s="66" t="s">
        <v>11</v>
      </c>
      <c r="B6" s="67">
        <v>44083.58</v>
      </c>
      <c r="H6" s="96" t="s">
        <v>167</v>
      </c>
      <c r="I6" s="67">
        <v>45470.310000000019</v>
      </c>
    </row>
    <row r="7" spans="1:9" x14ac:dyDescent="0.3">
      <c r="A7" s="66" t="s">
        <v>140</v>
      </c>
      <c r="B7" s="67">
        <v>195217.76</v>
      </c>
      <c r="H7" s="66" t="s">
        <v>164</v>
      </c>
      <c r="I7" s="67">
        <v>49788.399999999994</v>
      </c>
    </row>
    <row r="8" spans="1:9" x14ac:dyDescent="0.3">
      <c r="H8" s="96" t="s">
        <v>168</v>
      </c>
      <c r="I8" s="67">
        <v>46576.229999999996</v>
      </c>
    </row>
    <row r="9" spans="1:9" x14ac:dyDescent="0.3">
      <c r="H9" s="96" t="s">
        <v>165</v>
      </c>
      <c r="I9" s="67">
        <v>3212.17</v>
      </c>
    </row>
    <row r="10" spans="1:9" x14ac:dyDescent="0.3">
      <c r="H10" s="66" t="s">
        <v>140</v>
      </c>
      <c r="I10" s="67">
        <v>195217.76000000004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D5C5-7862-4E87-ADFA-9B70564AAF1B}">
  <dimension ref="A1:N210"/>
  <sheetViews>
    <sheetView tabSelected="1" zoomScale="105" zoomScaleNormal="105" workbookViewId="0">
      <selection activeCell="D19" sqref="D19"/>
    </sheetView>
  </sheetViews>
  <sheetFormatPr defaultRowHeight="14.4" x14ac:dyDescent="0.3"/>
  <cols>
    <col min="1" max="1" width="12.44140625" customWidth="1"/>
    <col min="2" max="2" width="15.33203125" customWidth="1"/>
    <col min="3" max="3" width="8.88671875" customWidth="1"/>
    <col min="4" max="4" width="17.5546875" customWidth="1"/>
    <col min="8" max="8" width="12.77734375" customWidth="1"/>
    <col min="10" max="10" width="15.77734375" customWidth="1"/>
    <col min="14" max="14" width="16.44140625" customWidth="1"/>
  </cols>
  <sheetData>
    <row r="1" spans="1:14" ht="1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133</v>
      </c>
      <c r="L1" s="88" t="s">
        <v>6</v>
      </c>
      <c r="M1" s="88" t="s">
        <v>8</v>
      </c>
      <c r="N1" s="88" t="s">
        <v>162</v>
      </c>
    </row>
    <row r="2" spans="1:14" ht="15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2">
        <v>331.55</v>
      </c>
      <c r="J2" s="45">
        <f ca="1">NOW()</f>
        <v>46322.046802893521</v>
      </c>
      <c r="L2" s="87">
        <v>0</v>
      </c>
      <c r="N2">
        <f>E2*(1-L2)</f>
        <v>1036.0899999999999</v>
      </c>
    </row>
    <row r="3" spans="1:14" ht="15" thickBot="1" x14ac:dyDescent="0.35">
      <c r="A3" s="2" t="s">
        <v>13</v>
      </c>
      <c r="B3" s="2" t="s">
        <v>14</v>
      </c>
      <c r="C3" s="2" t="s">
        <v>11</v>
      </c>
      <c r="D3" s="2" t="s">
        <v>15</v>
      </c>
      <c r="E3" s="2">
        <v>1101.28</v>
      </c>
      <c r="F3" s="2">
        <v>3</v>
      </c>
      <c r="G3" s="2">
        <v>0.2</v>
      </c>
      <c r="H3" s="3">
        <v>45393</v>
      </c>
      <c r="I3" s="2">
        <v>440.51</v>
      </c>
      <c r="L3" s="87">
        <v>0.05</v>
      </c>
      <c r="N3">
        <f>E2*(1-L3)</f>
        <v>984.28549999999984</v>
      </c>
    </row>
    <row r="4" spans="1:14" ht="15" thickBot="1" x14ac:dyDescent="0.35">
      <c r="A4" s="2" t="s">
        <v>16</v>
      </c>
      <c r="B4" s="2" t="s">
        <v>17</v>
      </c>
      <c r="C4" s="2" t="s">
        <v>18</v>
      </c>
      <c r="D4" s="2" t="s">
        <v>12</v>
      </c>
      <c r="E4" s="2">
        <v>713.34</v>
      </c>
      <c r="F4" s="2">
        <v>17</v>
      </c>
      <c r="G4" s="2">
        <v>0</v>
      </c>
      <c r="H4" s="3">
        <v>45396</v>
      </c>
      <c r="I4" s="2">
        <v>285.33999999999997</v>
      </c>
      <c r="L4" s="87">
        <v>0.1</v>
      </c>
      <c r="N4">
        <f>E2*(1-L4)</f>
        <v>932.48099999999999</v>
      </c>
    </row>
    <row r="5" spans="1:14" ht="15" thickBot="1" x14ac:dyDescent="0.35">
      <c r="A5" s="2" t="s">
        <v>19</v>
      </c>
      <c r="B5" s="2" t="s">
        <v>14</v>
      </c>
      <c r="C5" s="2" t="s">
        <v>20</v>
      </c>
      <c r="D5" s="2" t="s">
        <v>21</v>
      </c>
      <c r="E5" s="2">
        <v>760.93</v>
      </c>
      <c r="F5" s="2">
        <v>4</v>
      </c>
      <c r="G5" s="2">
        <v>0.15</v>
      </c>
      <c r="H5" s="3">
        <v>45396</v>
      </c>
      <c r="I5" s="2">
        <v>161.69999999999999</v>
      </c>
      <c r="L5" s="87">
        <v>0.15</v>
      </c>
      <c r="N5">
        <f>E2*(1-L5)</f>
        <v>880.67649999999992</v>
      </c>
    </row>
    <row r="6" spans="1:14" ht="15" thickBot="1" x14ac:dyDescent="0.35">
      <c r="A6" s="2" t="s">
        <v>22</v>
      </c>
      <c r="B6" s="2" t="s">
        <v>23</v>
      </c>
      <c r="C6" s="2" t="s">
        <v>24</v>
      </c>
      <c r="D6" s="2" t="s">
        <v>12</v>
      </c>
      <c r="E6" s="2">
        <v>847</v>
      </c>
      <c r="F6" s="2">
        <v>12</v>
      </c>
      <c r="G6" s="2">
        <v>0.2</v>
      </c>
      <c r="H6" s="3">
        <v>45397</v>
      </c>
      <c r="I6" s="2">
        <v>271.04000000000002</v>
      </c>
      <c r="L6" s="87">
        <v>0.2</v>
      </c>
      <c r="N6">
        <f>E2*(1-L6)</f>
        <v>828.87199999999996</v>
      </c>
    </row>
    <row r="7" spans="1:14" ht="14.4" customHeight="1" thickBot="1" x14ac:dyDescent="0.35">
      <c r="A7" s="2" t="s">
        <v>25</v>
      </c>
      <c r="B7" s="2" t="s">
        <v>26</v>
      </c>
      <c r="C7" s="2" t="s">
        <v>24</v>
      </c>
      <c r="D7" s="2" t="s">
        <v>27</v>
      </c>
      <c r="E7" s="2">
        <v>965.64</v>
      </c>
      <c r="F7" s="2">
        <v>8</v>
      </c>
      <c r="G7" s="2">
        <v>0.1</v>
      </c>
      <c r="H7" s="3">
        <v>45398</v>
      </c>
      <c r="I7" s="2">
        <v>304.18</v>
      </c>
    </row>
    <row r="8" spans="1:14" ht="15" thickBot="1" x14ac:dyDescent="0.35">
      <c r="A8" s="2" t="s">
        <v>28</v>
      </c>
      <c r="B8" s="2" t="s">
        <v>29</v>
      </c>
      <c r="C8" s="2" t="s">
        <v>11</v>
      </c>
      <c r="D8" s="2" t="s">
        <v>21</v>
      </c>
      <c r="E8" s="2">
        <v>1317.53</v>
      </c>
      <c r="F8" s="2">
        <v>12</v>
      </c>
      <c r="G8" s="2">
        <v>0.05</v>
      </c>
      <c r="H8" s="3">
        <v>45398</v>
      </c>
      <c r="I8" s="2">
        <v>312.91000000000003</v>
      </c>
    </row>
    <row r="9" spans="1:14" ht="15" thickBot="1" x14ac:dyDescent="0.35">
      <c r="A9" s="2" t="s">
        <v>30</v>
      </c>
      <c r="B9" s="2" t="s">
        <v>31</v>
      </c>
      <c r="C9" s="2" t="s">
        <v>18</v>
      </c>
      <c r="D9" s="2" t="s">
        <v>27</v>
      </c>
      <c r="E9" s="2">
        <v>1074.47</v>
      </c>
      <c r="F9" s="2">
        <v>6</v>
      </c>
      <c r="G9" s="2">
        <v>0.2</v>
      </c>
      <c r="H9" s="3">
        <v>45401</v>
      </c>
      <c r="I9" s="2">
        <v>300.85000000000002</v>
      </c>
    </row>
    <row r="10" spans="1:14" ht="15" thickBot="1" x14ac:dyDescent="0.35">
      <c r="A10" s="2" t="s">
        <v>32</v>
      </c>
      <c r="B10" s="2" t="s">
        <v>33</v>
      </c>
      <c r="C10" s="2" t="s">
        <v>34</v>
      </c>
      <c r="D10" s="2" t="s">
        <v>12</v>
      </c>
      <c r="E10" s="2">
        <v>501.54</v>
      </c>
      <c r="F10" s="2">
        <v>11</v>
      </c>
      <c r="G10" s="2">
        <v>0.05</v>
      </c>
      <c r="H10" s="3">
        <v>45401</v>
      </c>
      <c r="I10" s="2">
        <v>190.59</v>
      </c>
    </row>
    <row r="11" spans="1:14" ht="15" thickBot="1" x14ac:dyDescent="0.35">
      <c r="A11" s="2" t="s">
        <v>35</v>
      </c>
      <c r="B11" s="2" t="s">
        <v>36</v>
      </c>
      <c r="C11" s="2" t="s">
        <v>34</v>
      </c>
      <c r="D11" s="2" t="s">
        <v>15</v>
      </c>
      <c r="E11" s="2">
        <v>737.31</v>
      </c>
      <c r="F11" s="2">
        <v>2</v>
      </c>
      <c r="G11" s="2">
        <v>0.05</v>
      </c>
      <c r="H11" s="3">
        <v>45401</v>
      </c>
      <c r="I11" s="2">
        <v>350.22</v>
      </c>
    </row>
    <row r="12" spans="1:14" ht="15" thickBot="1" x14ac:dyDescent="0.35">
      <c r="A12" s="2" t="s">
        <v>37</v>
      </c>
      <c r="B12" s="2" t="s">
        <v>38</v>
      </c>
      <c r="C12" s="2" t="s">
        <v>11</v>
      </c>
      <c r="D12" s="2" t="s">
        <v>39</v>
      </c>
      <c r="E12" s="2">
        <v>1572.82</v>
      </c>
      <c r="F12" s="2">
        <v>6</v>
      </c>
      <c r="G12" s="2">
        <v>0.05</v>
      </c>
      <c r="H12" s="3">
        <v>45402</v>
      </c>
      <c r="I12" s="2">
        <v>672.38</v>
      </c>
    </row>
    <row r="13" spans="1:14" ht="15" thickBot="1" x14ac:dyDescent="0.35">
      <c r="A13" s="2" t="s">
        <v>37</v>
      </c>
      <c r="B13" s="2" t="s">
        <v>36</v>
      </c>
      <c r="C13" s="2" t="s">
        <v>34</v>
      </c>
      <c r="D13" s="2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2">
        <v>456.66</v>
      </c>
    </row>
    <row r="14" spans="1:14" ht="18" customHeight="1" thickBot="1" x14ac:dyDescent="0.35">
      <c r="A14" s="2" t="s">
        <v>25</v>
      </c>
      <c r="B14" s="2" t="s">
        <v>26</v>
      </c>
      <c r="C14" s="2" t="s">
        <v>34</v>
      </c>
      <c r="D14" s="2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2">
        <v>452.8</v>
      </c>
    </row>
    <row r="15" spans="1:14" ht="15" thickBot="1" x14ac:dyDescent="0.35">
      <c r="A15" s="2" t="s">
        <v>40</v>
      </c>
      <c r="B15" s="2" t="s">
        <v>14</v>
      </c>
      <c r="C15" s="2" t="s">
        <v>11</v>
      </c>
      <c r="D15" s="2" t="s">
        <v>27</v>
      </c>
      <c r="E15" s="2">
        <v>822.28</v>
      </c>
      <c r="F15" s="2">
        <v>7</v>
      </c>
      <c r="G15" s="2">
        <v>0.05</v>
      </c>
      <c r="H15" s="3">
        <v>45406</v>
      </c>
      <c r="I15" s="2">
        <v>273.41000000000003</v>
      </c>
    </row>
    <row r="16" spans="1:14" ht="15" thickBot="1" x14ac:dyDescent="0.35">
      <c r="A16" s="2" t="s">
        <v>41</v>
      </c>
      <c r="B16" s="2" t="s">
        <v>42</v>
      </c>
      <c r="C16" s="2" t="s">
        <v>24</v>
      </c>
      <c r="D16" s="2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2">
        <v>155.19999999999999</v>
      </c>
    </row>
    <row r="17" spans="1:9" ht="15" thickBot="1" x14ac:dyDescent="0.35">
      <c r="A17" s="2" t="s">
        <v>19</v>
      </c>
      <c r="B17" s="2" t="s">
        <v>43</v>
      </c>
      <c r="C17" s="2" t="s">
        <v>20</v>
      </c>
      <c r="D17" s="2" t="s">
        <v>21</v>
      </c>
      <c r="E17" s="2">
        <v>1502.93</v>
      </c>
      <c r="F17" s="2">
        <v>14</v>
      </c>
      <c r="G17" s="2">
        <v>0.2</v>
      </c>
      <c r="H17" s="3">
        <v>45410</v>
      </c>
      <c r="I17" s="2">
        <v>300.58999999999997</v>
      </c>
    </row>
    <row r="18" spans="1:9" ht="15" thickBot="1" x14ac:dyDescent="0.35">
      <c r="A18" s="2" t="s">
        <v>44</v>
      </c>
      <c r="B18" s="2" t="s">
        <v>14</v>
      </c>
      <c r="C18" s="2" t="s">
        <v>20</v>
      </c>
      <c r="D18" s="2" t="s">
        <v>12</v>
      </c>
      <c r="E18" s="2">
        <v>877.58</v>
      </c>
      <c r="F18" s="2">
        <v>10</v>
      </c>
      <c r="G18" s="2">
        <v>0.15</v>
      </c>
      <c r="H18" s="3">
        <v>45411</v>
      </c>
      <c r="I18" s="2">
        <v>298.38</v>
      </c>
    </row>
    <row r="19" spans="1:9" ht="15" thickBot="1" x14ac:dyDescent="0.35">
      <c r="A19" s="2" t="s">
        <v>28</v>
      </c>
      <c r="B19" s="2" t="s">
        <v>45</v>
      </c>
      <c r="C19" s="2" t="s">
        <v>11</v>
      </c>
      <c r="D19" s="2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2">
        <v>203.74</v>
      </c>
    </row>
    <row r="20" spans="1:9" ht="15" thickBot="1" x14ac:dyDescent="0.35">
      <c r="A20" s="2" t="s">
        <v>46</v>
      </c>
      <c r="B20" s="2" t="s">
        <v>47</v>
      </c>
      <c r="C20" s="2" t="s">
        <v>11</v>
      </c>
      <c r="D20" s="2" t="s">
        <v>12</v>
      </c>
      <c r="E20" s="2">
        <v>1506.14</v>
      </c>
      <c r="F20" s="2">
        <v>13</v>
      </c>
      <c r="G20" s="2">
        <v>0.2</v>
      </c>
      <c r="H20" s="3">
        <v>45412</v>
      </c>
      <c r="I20" s="2">
        <v>481.96</v>
      </c>
    </row>
    <row r="21" spans="1:9" ht="15" thickBot="1" x14ac:dyDescent="0.35">
      <c r="A21" s="2" t="s">
        <v>30</v>
      </c>
      <c r="B21" s="2" t="s">
        <v>31</v>
      </c>
      <c r="C21" s="2" t="s">
        <v>34</v>
      </c>
      <c r="D21" s="2" t="s">
        <v>21</v>
      </c>
      <c r="E21" s="2">
        <v>645.02</v>
      </c>
      <c r="F21" s="2">
        <v>4</v>
      </c>
      <c r="G21" s="2">
        <v>0</v>
      </c>
      <c r="H21" s="3">
        <v>45414</v>
      </c>
      <c r="I21" s="2">
        <v>161.26</v>
      </c>
    </row>
    <row r="22" spans="1:9" ht="15" thickBot="1" x14ac:dyDescent="0.35">
      <c r="A22" s="2" t="s">
        <v>25</v>
      </c>
      <c r="B22" s="2" t="s">
        <v>48</v>
      </c>
      <c r="C22" s="2" t="s">
        <v>20</v>
      </c>
      <c r="D22" s="2" t="s">
        <v>15</v>
      </c>
      <c r="E22" s="2">
        <v>953.3</v>
      </c>
      <c r="F22" s="2">
        <v>11</v>
      </c>
      <c r="G22" s="2">
        <v>0</v>
      </c>
      <c r="H22" s="3">
        <v>45415</v>
      </c>
      <c r="I22" s="2">
        <v>476.65</v>
      </c>
    </row>
    <row r="23" spans="1:9" ht="15" thickBot="1" x14ac:dyDescent="0.35">
      <c r="A23" s="2" t="s">
        <v>49</v>
      </c>
      <c r="B23" s="2" t="s">
        <v>14</v>
      </c>
      <c r="C23" s="2" t="s">
        <v>24</v>
      </c>
      <c r="D23" s="2" t="s">
        <v>21</v>
      </c>
      <c r="E23" s="2">
        <v>388.56</v>
      </c>
      <c r="F23" s="2">
        <v>14</v>
      </c>
      <c r="G23" s="2">
        <v>0.15</v>
      </c>
      <c r="H23" s="3">
        <v>45416</v>
      </c>
      <c r="I23" s="2">
        <v>82.57</v>
      </c>
    </row>
    <row r="24" spans="1:9" ht="15" thickBot="1" x14ac:dyDescent="0.35">
      <c r="A24" s="2" t="s">
        <v>9</v>
      </c>
      <c r="B24" s="2" t="s">
        <v>31</v>
      </c>
      <c r="C24" s="2" t="s">
        <v>11</v>
      </c>
      <c r="D24" s="2" t="s">
        <v>12</v>
      </c>
      <c r="E24" s="2">
        <v>743.17</v>
      </c>
      <c r="F24" s="2">
        <v>9</v>
      </c>
      <c r="G24" s="2">
        <v>0</v>
      </c>
      <c r="H24" s="3">
        <v>45416</v>
      </c>
      <c r="I24" s="2">
        <v>297.27</v>
      </c>
    </row>
    <row r="25" spans="1:9" ht="15" thickBot="1" x14ac:dyDescent="0.35">
      <c r="A25" s="2" t="s">
        <v>40</v>
      </c>
      <c r="B25" s="2" t="s">
        <v>31</v>
      </c>
      <c r="C25" s="2" t="s">
        <v>34</v>
      </c>
      <c r="D25" s="2" t="s">
        <v>21</v>
      </c>
      <c r="E25" s="2">
        <v>706.37</v>
      </c>
      <c r="F25" s="2">
        <v>6</v>
      </c>
      <c r="G25" s="2">
        <v>0</v>
      </c>
      <c r="H25" s="3">
        <v>45416</v>
      </c>
      <c r="I25" s="2">
        <v>176.59</v>
      </c>
    </row>
    <row r="26" spans="1:9" ht="15" thickBot="1" x14ac:dyDescent="0.35">
      <c r="A26" s="2" t="s">
        <v>13</v>
      </c>
      <c r="B26" s="2" t="s">
        <v>31</v>
      </c>
      <c r="C26" s="2" t="s">
        <v>34</v>
      </c>
      <c r="D26" s="2" t="s">
        <v>39</v>
      </c>
      <c r="E26" s="2">
        <v>925.31</v>
      </c>
      <c r="F26" s="2">
        <v>8</v>
      </c>
      <c r="G26" s="2">
        <v>0.1</v>
      </c>
      <c r="H26" s="3">
        <v>45418</v>
      </c>
      <c r="I26" s="2">
        <v>374.75</v>
      </c>
    </row>
    <row r="27" spans="1:9" ht="15" thickBot="1" x14ac:dyDescent="0.35">
      <c r="A27" s="2" t="s">
        <v>35</v>
      </c>
      <c r="B27" s="2" t="s">
        <v>50</v>
      </c>
      <c r="C27" s="2" t="s">
        <v>20</v>
      </c>
      <c r="D27" s="2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2">
        <v>293.27999999999997</v>
      </c>
    </row>
    <row r="28" spans="1:9" ht="15" thickBot="1" x14ac:dyDescent="0.35">
      <c r="A28" s="2" t="s">
        <v>22</v>
      </c>
      <c r="B28" s="2" t="s">
        <v>51</v>
      </c>
      <c r="C28" s="2" t="s">
        <v>24</v>
      </c>
      <c r="D28" s="2" t="s">
        <v>27</v>
      </c>
      <c r="E28" s="2">
        <v>675.54</v>
      </c>
      <c r="F28" s="2">
        <v>17</v>
      </c>
      <c r="G28" s="2">
        <v>0</v>
      </c>
      <c r="H28" s="3">
        <v>45420</v>
      </c>
      <c r="I28" s="2">
        <v>236.44</v>
      </c>
    </row>
    <row r="29" spans="1:9" ht="15" thickBot="1" x14ac:dyDescent="0.35">
      <c r="A29" s="2" t="s">
        <v>25</v>
      </c>
      <c r="B29" s="2" t="s">
        <v>14</v>
      </c>
      <c r="C29" s="2" t="s">
        <v>34</v>
      </c>
      <c r="D29" s="2" t="s">
        <v>12</v>
      </c>
      <c r="E29" s="2">
        <v>939.09</v>
      </c>
      <c r="F29" s="2">
        <v>2</v>
      </c>
      <c r="G29" s="2">
        <v>0.05</v>
      </c>
      <c r="H29" s="3">
        <v>45422</v>
      </c>
      <c r="I29" s="2">
        <v>356.85</v>
      </c>
    </row>
    <row r="30" spans="1:9" ht="15" thickBot="1" x14ac:dyDescent="0.35">
      <c r="A30" s="2" t="s">
        <v>52</v>
      </c>
      <c r="B30" s="2" t="s">
        <v>53</v>
      </c>
      <c r="C30" s="2" t="s">
        <v>18</v>
      </c>
      <c r="D30" s="2" t="s">
        <v>39</v>
      </c>
      <c r="E30" s="2">
        <v>983.34</v>
      </c>
      <c r="F30" s="2">
        <v>19</v>
      </c>
      <c r="G30" s="2">
        <v>0.1</v>
      </c>
      <c r="H30" s="3">
        <v>45426</v>
      </c>
      <c r="I30" s="2">
        <v>398.25</v>
      </c>
    </row>
    <row r="31" spans="1:9" ht="15" thickBot="1" x14ac:dyDescent="0.35">
      <c r="A31" s="2" t="s">
        <v>52</v>
      </c>
      <c r="B31" s="2" t="s">
        <v>23</v>
      </c>
      <c r="C31" s="2" t="s">
        <v>20</v>
      </c>
      <c r="D31" s="2" t="s">
        <v>21</v>
      </c>
      <c r="E31" s="2">
        <v>801.21</v>
      </c>
      <c r="F31" s="2">
        <v>3</v>
      </c>
      <c r="G31" s="2">
        <v>0.2</v>
      </c>
      <c r="H31" s="3">
        <v>45426</v>
      </c>
      <c r="I31" s="2">
        <v>160.24</v>
      </c>
    </row>
    <row r="32" spans="1:9" ht="15" thickBot="1" x14ac:dyDescent="0.35">
      <c r="A32" s="2" t="s">
        <v>54</v>
      </c>
      <c r="B32" s="2" t="s">
        <v>55</v>
      </c>
      <c r="C32" s="2" t="s">
        <v>24</v>
      </c>
      <c r="D32" s="2" t="s">
        <v>21</v>
      </c>
      <c r="E32" s="2">
        <v>1450.71</v>
      </c>
      <c r="F32" s="2">
        <v>5</v>
      </c>
      <c r="G32" s="2">
        <v>0.1</v>
      </c>
      <c r="H32" s="3">
        <v>45427</v>
      </c>
      <c r="I32" s="2">
        <v>326.41000000000003</v>
      </c>
    </row>
    <row r="33" spans="1:9" ht="15" thickBot="1" x14ac:dyDescent="0.35">
      <c r="A33" s="2" t="s">
        <v>49</v>
      </c>
      <c r="B33" s="2" t="s">
        <v>56</v>
      </c>
      <c r="C33" s="2" t="s">
        <v>34</v>
      </c>
      <c r="D33" s="2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2">
        <v>388.82</v>
      </c>
    </row>
    <row r="34" spans="1:9" ht="15" thickBot="1" x14ac:dyDescent="0.35">
      <c r="A34" s="2" t="s">
        <v>28</v>
      </c>
      <c r="B34" s="2" t="s">
        <v>47</v>
      </c>
      <c r="C34" s="2" t="s">
        <v>11</v>
      </c>
      <c r="D34" s="2" t="s">
        <v>27</v>
      </c>
      <c r="E34" s="2">
        <v>853.72</v>
      </c>
      <c r="F34" s="2">
        <v>5</v>
      </c>
      <c r="G34" s="2">
        <v>0.15</v>
      </c>
      <c r="H34" s="3">
        <v>45428</v>
      </c>
      <c r="I34" s="2">
        <v>253.98</v>
      </c>
    </row>
    <row r="35" spans="1:9" ht="15" thickBot="1" x14ac:dyDescent="0.35">
      <c r="A35" s="2" t="s">
        <v>57</v>
      </c>
      <c r="B35" s="2" t="s">
        <v>43</v>
      </c>
      <c r="C35" s="2" t="s">
        <v>20</v>
      </c>
      <c r="D35" s="2" t="s">
        <v>21</v>
      </c>
      <c r="E35" s="2">
        <v>967.89</v>
      </c>
      <c r="F35" s="2">
        <v>10</v>
      </c>
      <c r="G35" s="2">
        <v>0.1</v>
      </c>
      <c r="H35" s="3">
        <v>45429</v>
      </c>
      <c r="I35" s="2">
        <v>217.78</v>
      </c>
    </row>
    <row r="36" spans="1:9" ht="15" thickBot="1" x14ac:dyDescent="0.35">
      <c r="A36" s="2" t="s">
        <v>58</v>
      </c>
      <c r="B36" s="2" t="s">
        <v>53</v>
      </c>
      <c r="C36" s="2" t="s">
        <v>24</v>
      </c>
      <c r="D36" s="2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2">
        <v>513.38</v>
      </c>
    </row>
    <row r="37" spans="1:9" ht="29.4" thickBot="1" x14ac:dyDescent="0.35">
      <c r="A37" s="2" t="s">
        <v>13</v>
      </c>
      <c r="B37" s="2" t="s">
        <v>26</v>
      </c>
      <c r="C37" s="2" t="s">
        <v>11</v>
      </c>
      <c r="D37" s="2" t="s">
        <v>12</v>
      </c>
      <c r="E37" s="2">
        <v>472.38</v>
      </c>
      <c r="F37" s="2">
        <v>12</v>
      </c>
      <c r="G37" s="2">
        <v>0.2</v>
      </c>
      <c r="H37" s="3">
        <v>45429</v>
      </c>
      <c r="I37" s="2">
        <v>151.16</v>
      </c>
    </row>
    <row r="38" spans="1:9" ht="15" thickBot="1" x14ac:dyDescent="0.35">
      <c r="A38" s="2" t="s">
        <v>9</v>
      </c>
      <c r="B38" s="2" t="s">
        <v>55</v>
      </c>
      <c r="C38" s="2" t="s">
        <v>18</v>
      </c>
      <c r="D38" s="2" t="s">
        <v>39</v>
      </c>
      <c r="E38" s="2">
        <v>840.92</v>
      </c>
      <c r="F38" s="2">
        <v>9</v>
      </c>
      <c r="G38" s="2">
        <v>0.05</v>
      </c>
      <c r="H38" s="3">
        <v>45429</v>
      </c>
      <c r="I38" s="2">
        <v>359.49</v>
      </c>
    </row>
    <row r="39" spans="1:9" ht="15" thickBot="1" x14ac:dyDescent="0.35">
      <c r="A39" s="2" t="s">
        <v>52</v>
      </c>
      <c r="B39" s="2" t="s">
        <v>48</v>
      </c>
      <c r="C39" s="2" t="s">
        <v>34</v>
      </c>
      <c r="D39" s="2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2">
        <v>468.84</v>
      </c>
    </row>
    <row r="40" spans="1:9" ht="15" thickBot="1" x14ac:dyDescent="0.35">
      <c r="A40" s="2" t="s">
        <v>44</v>
      </c>
      <c r="B40" s="2" t="s">
        <v>59</v>
      </c>
      <c r="C40" s="2" t="s">
        <v>34</v>
      </c>
      <c r="D40" s="2" t="s">
        <v>27</v>
      </c>
      <c r="E40" s="2">
        <v>773.09</v>
      </c>
      <c r="F40" s="2">
        <v>13</v>
      </c>
      <c r="G40" s="2">
        <v>0.15</v>
      </c>
      <c r="H40" s="3">
        <v>45434</v>
      </c>
      <c r="I40" s="2">
        <v>229.99</v>
      </c>
    </row>
    <row r="41" spans="1:9" ht="15" thickBot="1" x14ac:dyDescent="0.35">
      <c r="A41" s="2" t="s">
        <v>60</v>
      </c>
      <c r="B41" s="2" t="s">
        <v>61</v>
      </c>
      <c r="C41" s="2" t="s">
        <v>18</v>
      </c>
      <c r="D41" s="2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2">
        <v>197.35</v>
      </c>
    </row>
    <row r="42" spans="1:9" ht="15" thickBot="1" x14ac:dyDescent="0.35">
      <c r="A42" s="2" t="s">
        <v>19</v>
      </c>
      <c r="B42" s="2" t="s">
        <v>42</v>
      </c>
      <c r="C42" s="2" t="s">
        <v>20</v>
      </c>
      <c r="D42" s="2" t="s">
        <v>12</v>
      </c>
      <c r="E42" s="2">
        <v>1151.21</v>
      </c>
      <c r="F42" s="2">
        <v>15</v>
      </c>
      <c r="G42" s="2">
        <v>0.1</v>
      </c>
      <c r="H42" s="3">
        <v>45445</v>
      </c>
      <c r="I42" s="2">
        <v>414.44</v>
      </c>
    </row>
    <row r="43" spans="1:9" ht="15" thickBot="1" x14ac:dyDescent="0.35">
      <c r="A43" s="2" t="s">
        <v>52</v>
      </c>
      <c r="B43" s="2" t="s">
        <v>23</v>
      </c>
      <c r="C43" s="2" t="s">
        <v>34</v>
      </c>
      <c r="D43" s="2" t="s">
        <v>39</v>
      </c>
      <c r="E43" s="2">
        <v>1025.98</v>
      </c>
      <c r="F43" s="2">
        <v>5</v>
      </c>
      <c r="G43" s="2">
        <v>0.2</v>
      </c>
      <c r="H43" s="3">
        <v>45447</v>
      </c>
      <c r="I43" s="2">
        <v>369.35</v>
      </c>
    </row>
    <row r="44" spans="1:9" ht="15" thickBot="1" x14ac:dyDescent="0.35">
      <c r="A44" s="2" t="s">
        <v>40</v>
      </c>
      <c r="B44" s="2" t="s">
        <v>56</v>
      </c>
      <c r="C44" s="2" t="s">
        <v>18</v>
      </c>
      <c r="D44" s="2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2">
        <v>212.83</v>
      </c>
    </row>
    <row r="45" spans="1:9" ht="15" thickBot="1" x14ac:dyDescent="0.35">
      <c r="A45" s="2" t="s">
        <v>57</v>
      </c>
      <c r="B45" s="2" t="s">
        <v>23</v>
      </c>
      <c r="C45" s="2" t="s">
        <v>34</v>
      </c>
      <c r="D45" s="2" t="s">
        <v>12</v>
      </c>
      <c r="E45" s="2">
        <v>840.85</v>
      </c>
      <c r="F45" s="2">
        <v>19</v>
      </c>
      <c r="G45" s="2">
        <v>0.1</v>
      </c>
      <c r="H45" s="3">
        <v>45448</v>
      </c>
      <c r="I45" s="2">
        <v>302.70999999999998</v>
      </c>
    </row>
    <row r="46" spans="1:9" ht="15" thickBot="1" x14ac:dyDescent="0.35">
      <c r="A46" s="2" t="s">
        <v>30</v>
      </c>
      <c r="B46" s="2" t="s">
        <v>61</v>
      </c>
      <c r="C46" s="2" t="s">
        <v>24</v>
      </c>
      <c r="D46" s="2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2">
        <v>365.11</v>
      </c>
    </row>
    <row r="47" spans="1:9" ht="15" thickBot="1" x14ac:dyDescent="0.35">
      <c r="A47" s="2" t="s">
        <v>16</v>
      </c>
      <c r="B47" s="2" t="s">
        <v>62</v>
      </c>
      <c r="C47" s="2" t="s">
        <v>34</v>
      </c>
      <c r="D47" s="2" t="s">
        <v>21</v>
      </c>
      <c r="E47" s="2">
        <v>856.7</v>
      </c>
      <c r="F47" s="2">
        <v>2</v>
      </c>
      <c r="G47" s="2">
        <v>0</v>
      </c>
      <c r="H47" s="3">
        <v>45449</v>
      </c>
      <c r="I47" s="2">
        <v>214.18</v>
      </c>
    </row>
    <row r="48" spans="1:9" ht="15" thickBot="1" x14ac:dyDescent="0.35">
      <c r="A48" s="2" t="s">
        <v>54</v>
      </c>
      <c r="B48" s="2" t="s">
        <v>56</v>
      </c>
      <c r="C48" s="2" t="s">
        <v>34</v>
      </c>
      <c r="D48" s="2" t="s">
        <v>39</v>
      </c>
      <c r="E48" s="2">
        <v>1225.42</v>
      </c>
      <c r="F48" s="2">
        <v>8</v>
      </c>
      <c r="G48" s="2">
        <v>0.15</v>
      </c>
      <c r="H48" s="3">
        <v>45449</v>
      </c>
      <c r="I48" s="2">
        <v>468.72</v>
      </c>
    </row>
    <row r="49" spans="1:9" ht="15" thickBot="1" x14ac:dyDescent="0.35">
      <c r="A49" s="2" t="s">
        <v>63</v>
      </c>
      <c r="B49" s="2" t="s">
        <v>31</v>
      </c>
      <c r="C49" s="2" t="s">
        <v>24</v>
      </c>
      <c r="D49" s="2" t="s">
        <v>39</v>
      </c>
      <c r="E49" s="2">
        <v>1001.57</v>
      </c>
      <c r="F49" s="2">
        <v>12</v>
      </c>
      <c r="G49" s="2">
        <v>0</v>
      </c>
      <c r="H49" s="3">
        <v>45450</v>
      </c>
      <c r="I49" s="2">
        <v>450.71</v>
      </c>
    </row>
    <row r="50" spans="1:9" ht="29.4" thickBot="1" x14ac:dyDescent="0.35">
      <c r="A50" s="2" t="s">
        <v>57</v>
      </c>
      <c r="B50" s="2" t="s">
        <v>26</v>
      </c>
      <c r="C50" s="2" t="s">
        <v>18</v>
      </c>
      <c r="D50" s="2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2">
        <v>332.32</v>
      </c>
    </row>
    <row r="51" spans="1:9" ht="15" thickBot="1" x14ac:dyDescent="0.35">
      <c r="A51" s="2" t="s">
        <v>44</v>
      </c>
      <c r="B51" s="2" t="s">
        <v>51</v>
      </c>
      <c r="C51" s="2" t="s">
        <v>20</v>
      </c>
      <c r="D51" s="2" t="s">
        <v>21</v>
      </c>
      <c r="E51" s="2">
        <v>775.45</v>
      </c>
      <c r="F51" s="2">
        <v>6</v>
      </c>
      <c r="G51" s="2">
        <v>0.1</v>
      </c>
      <c r="H51" s="3">
        <v>45457</v>
      </c>
      <c r="I51" s="2">
        <v>174.48</v>
      </c>
    </row>
    <row r="52" spans="1:9" ht="15" thickBot="1" x14ac:dyDescent="0.35">
      <c r="A52" s="2" t="s">
        <v>25</v>
      </c>
      <c r="B52" s="2" t="s">
        <v>33</v>
      </c>
      <c r="C52" s="2" t="s">
        <v>20</v>
      </c>
      <c r="D52" s="2" t="s">
        <v>21</v>
      </c>
      <c r="E52" s="2">
        <v>1021.47</v>
      </c>
      <c r="F52" s="2">
        <v>6</v>
      </c>
      <c r="G52" s="2">
        <v>0.05</v>
      </c>
      <c r="H52" s="3">
        <v>45461</v>
      </c>
      <c r="I52" s="2">
        <v>242.6</v>
      </c>
    </row>
    <row r="53" spans="1:9" ht="15" thickBot="1" x14ac:dyDescent="0.35">
      <c r="A53" s="2" t="s">
        <v>58</v>
      </c>
      <c r="B53" s="2" t="s">
        <v>23</v>
      </c>
      <c r="C53" s="2" t="s">
        <v>20</v>
      </c>
      <c r="D53" s="2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2">
        <v>551.98</v>
      </c>
    </row>
    <row r="54" spans="1:9" ht="15" thickBot="1" x14ac:dyDescent="0.35">
      <c r="A54" s="2" t="s">
        <v>22</v>
      </c>
      <c r="B54" s="2" t="s">
        <v>64</v>
      </c>
      <c r="C54" s="2" t="s">
        <v>20</v>
      </c>
      <c r="D54" s="2" t="s">
        <v>27</v>
      </c>
      <c r="E54" s="2">
        <v>1086.93</v>
      </c>
      <c r="F54" s="2">
        <v>2</v>
      </c>
      <c r="G54" s="2">
        <v>0</v>
      </c>
      <c r="H54" s="3">
        <v>45464</v>
      </c>
      <c r="I54" s="2">
        <v>380.43</v>
      </c>
    </row>
    <row r="55" spans="1:9" ht="15" thickBot="1" x14ac:dyDescent="0.35">
      <c r="A55" s="2" t="s">
        <v>65</v>
      </c>
      <c r="B55" s="2" t="s">
        <v>48</v>
      </c>
      <c r="C55" s="2" t="s">
        <v>11</v>
      </c>
      <c r="D55" s="2" t="s">
        <v>12</v>
      </c>
      <c r="E55" s="2">
        <v>942.9</v>
      </c>
      <c r="F55" s="2">
        <v>18</v>
      </c>
      <c r="G55" s="2">
        <v>0.1</v>
      </c>
      <c r="H55" s="3">
        <v>45466</v>
      </c>
      <c r="I55" s="2">
        <v>339.44</v>
      </c>
    </row>
    <row r="56" spans="1:9" ht="15" thickBot="1" x14ac:dyDescent="0.35">
      <c r="A56" s="2" t="s">
        <v>32</v>
      </c>
      <c r="B56" s="2" t="s">
        <v>38</v>
      </c>
      <c r="C56" s="2" t="s">
        <v>24</v>
      </c>
      <c r="D56" s="2" t="s">
        <v>21</v>
      </c>
      <c r="E56" s="2">
        <v>818.8</v>
      </c>
      <c r="F56" s="2">
        <v>15</v>
      </c>
      <c r="G56" s="2">
        <v>0.15</v>
      </c>
      <c r="H56" s="3">
        <v>45468</v>
      </c>
      <c r="I56" s="2">
        <v>173.99</v>
      </c>
    </row>
    <row r="57" spans="1:9" ht="15" thickBot="1" x14ac:dyDescent="0.35">
      <c r="A57" s="2" t="s">
        <v>19</v>
      </c>
      <c r="B57" s="2" t="s">
        <v>14</v>
      </c>
      <c r="C57" s="2" t="s">
        <v>20</v>
      </c>
      <c r="D57" s="2" t="s">
        <v>27</v>
      </c>
      <c r="E57" s="2">
        <v>919.04</v>
      </c>
      <c r="F57" s="2">
        <v>10</v>
      </c>
      <c r="G57" s="2">
        <v>0.2</v>
      </c>
      <c r="H57" s="3">
        <v>45468</v>
      </c>
      <c r="I57" s="2">
        <v>257.33</v>
      </c>
    </row>
    <row r="58" spans="1:9" ht="15" thickBot="1" x14ac:dyDescent="0.35">
      <c r="A58" s="2" t="s">
        <v>22</v>
      </c>
      <c r="B58" s="2" t="s">
        <v>66</v>
      </c>
      <c r="C58" s="2" t="s">
        <v>34</v>
      </c>
      <c r="D58" s="2" t="s">
        <v>12</v>
      </c>
      <c r="E58" s="2">
        <v>973.26</v>
      </c>
      <c r="F58" s="2">
        <v>11</v>
      </c>
      <c r="G58" s="2">
        <v>0</v>
      </c>
      <c r="H58" s="3">
        <v>45470</v>
      </c>
      <c r="I58" s="2">
        <v>389.3</v>
      </c>
    </row>
    <row r="59" spans="1:9" ht="15" thickBot="1" x14ac:dyDescent="0.35">
      <c r="A59" s="2" t="s">
        <v>41</v>
      </c>
      <c r="B59" s="2" t="s">
        <v>64</v>
      </c>
      <c r="C59" s="2" t="s">
        <v>24</v>
      </c>
      <c r="D59" s="2" t="s">
        <v>21</v>
      </c>
      <c r="E59" s="2">
        <v>741.61</v>
      </c>
      <c r="F59" s="2">
        <v>1</v>
      </c>
      <c r="G59" s="2">
        <v>0.2</v>
      </c>
      <c r="H59" s="3">
        <v>45471</v>
      </c>
      <c r="I59" s="2">
        <v>148.32</v>
      </c>
    </row>
    <row r="60" spans="1:9" ht="15" thickBot="1" x14ac:dyDescent="0.35">
      <c r="A60" s="2" t="s">
        <v>67</v>
      </c>
      <c r="B60" s="2" t="s">
        <v>38</v>
      </c>
      <c r="C60" s="2" t="s">
        <v>24</v>
      </c>
      <c r="D60" s="2" t="s">
        <v>12</v>
      </c>
      <c r="E60" s="2">
        <v>1248.82</v>
      </c>
      <c r="F60" s="2">
        <v>2</v>
      </c>
      <c r="G60" s="2">
        <v>0.1</v>
      </c>
      <c r="H60" s="3">
        <v>45473</v>
      </c>
      <c r="I60" s="2">
        <v>449.58</v>
      </c>
    </row>
    <row r="61" spans="1:9" ht="15" thickBot="1" x14ac:dyDescent="0.35">
      <c r="A61" s="2" t="s">
        <v>13</v>
      </c>
      <c r="B61" s="2" t="s">
        <v>59</v>
      </c>
      <c r="C61" s="2" t="s">
        <v>11</v>
      </c>
      <c r="D61" s="2" t="s">
        <v>15</v>
      </c>
      <c r="E61" s="2">
        <v>1360.36</v>
      </c>
      <c r="F61" s="2">
        <v>17</v>
      </c>
      <c r="G61" s="2">
        <v>0</v>
      </c>
      <c r="H61" s="3">
        <v>45473</v>
      </c>
      <c r="I61" s="2">
        <v>680.18</v>
      </c>
    </row>
    <row r="62" spans="1:9" ht="15" thickBot="1" x14ac:dyDescent="0.35">
      <c r="A62" s="2" t="s">
        <v>57</v>
      </c>
      <c r="B62" s="2" t="s">
        <v>31</v>
      </c>
      <c r="C62" s="2" t="s">
        <v>18</v>
      </c>
      <c r="D62" s="2" t="s">
        <v>12</v>
      </c>
      <c r="E62" s="2">
        <v>1383.3</v>
      </c>
      <c r="F62" s="2">
        <v>8</v>
      </c>
      <c r="G62" s="2">
        <v>0.1</v>
      </c>
      <c r="H62" s="3">
        <v>45478</v>
      </c>
      <c r="I62" s="2">
        <v>497.99</v>
      </c>
    </row>
    <row r="63" spans="1:9" ht="15" thickBot="1" x14ac:dyDescent="0.35">
      <c r="A63" s="2" t="s">
        <v>35</v>
      </c>
      <c r="B63" s="2" t="s">
        <v>55</v>
      </c>
      <c r="C63" s="2" t="s">
        <v>34</v>
      </c>
      <c r="D63" s="2" t="s">
        <v>39</v>
      </c>
      <c r="E63" s="2">
        <v>488.99</v>
      </c>
      <c r="F63" s="2">
        <v>9</v>
      </c>
      <c r="G63" s="2">
        <v>0</v>
      </c>
      <c r="H63" s="3">
        <v>45479</v>
      </c>
      <c r="I63" s="2">
        <v>220.05</v>
      </c>
    </row>
    <row r="64" spans="1:9" ht="15" thickBot="1" x14ac:dyDescent="0.35">
      <c r="A64" s="2" t="s">
        <v>30</v>
      </c>
      <c r="B64" s="2" t="s">
        <v>31</v>
      </c>
      <c r="C64" s="2" t="s">
        <v>18</v>
      </c>
      <c r="D64" s="2" t="s">
        <v>27</v>
      </c>
      <c r="E64" s="2">
        <v>933.71</v>
      </c>
      <c r="F64" s="2">
        <v>17</v>
      </c>
      <c r="G64" s="2">
        <v>0.1</v>
      </c>
      <c r="H64" s="3">
        <v>45481</v>
      </c>
      <c r="I64" s="2">
        <v>294.12</v>
      </c>
    </row>
    <row r="65" spans="1:9" ht="15" thickBot="1" x14ac:dyDescent="0.35">
      <c r="A65" s="2" t="s">
        <v>67</v>
      </c>
      <c r="B65" s="2" t="s">
        <v>10</v>
      </c>
      <c r="C65" s="2" t="s">
        <v>11</v>
      </c>
      <c r="D65" s="2" t="s">
        <v>21</v>
      </c>
      <c r="E65" s="2">
        <v>1005.53</v>
      </c>
      <c r="F65" s="2">
        <v>17</v>
      </c>
      <c r="G65" s="2">
        <v>0.2</v>
      </c>
      <c r="H65" s="3">
        <v>45481</v>
      </c>
      <c r="I65" s="2">
        <v>201.11</v>
      </c>
    </row>
    <row r="66" spans="1:9" ht="15" thickBot="1" x14ac:dyDescent="0.35">
      <c r="A66" s="2" t="s">
        <v>41</v>
      </c>
      <c r="B66" s="2" t="s">
        <v>61</v>
      </c>
      <c r="C66" s="2" t="s">
        <v>20</v>
      </c>
      <c r="D66" s="2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2">
        <v>261.27</v>
      </c>
    </row>
    <row r="67" spans="1:9" ht="15" thickBot="1" x14ac:dyDescent="0.35">
      <c r="A67" s="2" t="s">
        <v>67</v>
      </c>
      <c r="B67" s="2" t="s">
        <v>23</v>
      </c>
      <c r="C67" s="2" t="s">
        <v>24</v>
      </c>
      <c r="D67" s="2" t="s">
        <v>27</v>
      </c>
      <c r="E67" s="2">
        <v>1034.7</v>
      </c>
      <c r="F67" s="2">
        <v>15</v>
      </c>
      <c r="G67" s="2">
        <v>0.15</v>
      </c>
      <c r="H67" s="3">
        <v>45487</v>
      </c>
      <c r="I67" s="2">
        <v>307.82</v>
      </c>
    </row>
    <row r="68" spans="1:9" ht="15" thickBot="1" x14ac:dyDescent="0.35">
      <c r="A68" s="2" t="s">
        <v>65</v>
      </c>
      <c r="B68" s="2" t="s">
        <v>31</v>
      </c>
      <c r="C68" s="2" t="s">
        <v>20</v>
      </c>
      <c r="D68" s="2" t="s">
        <v>12</v>
      </c>
      <c r="E68" s="2">
        <v>876.44</v>
      </c>
      <c r="F68" s="2">
        <v>12</v>
      </c>
      <c r="G68" s="2">
        <v>0.05</v>
      </c>
      <c r="H68" s="3">
        <v>45488</v>
      </c>
      <c r="I68" s="2">
        <v>333.05</v>
      </c>
    </row>
    <row r="69" spans="1:9" ht="15" thickBot="1" x14ac:dyDescent="0.35">
      <c r="A69" s="2" t="s">
        <v>68</v>
      </c>
      <c r="B69" s="2" t="s">
        <v>55</v>
      </c>
      <c r="C69" s="2" t="s">
        <v>11</v>
      </c>
      <c r="D69" s="2" t="s">
        <v>27</v>
      </c>
      <c r="E69" s="2">
        <v>1371.34</v>
      </c>
      <c r="F69" s="2">
        <v>5</v>
      </c>
      <c r="G69" s="2">
        <v>0.05</v>
      </c>
      <c r="H69" s="3">
        <v>45488</v>
      </c>
      <c r="I69" s="2">
        <v>455.97</v>
      </c>
    </row>
    <row r="70" spans="1:9" ht="15" thickBot="1" x14ac:dyDescent="0.35">
      <c r="A70" s="2" t="s">
        <v>57</v>
      </c>
      <c r="B70" s="2" t="s">
        <v>47</v>
      </c>
      <c r="C70" s="2" t="s">
        <v>24</v>
      </c>
      <c r="D70" s="2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2">
        <v>242.31</v>
      </c>
    </row>
    <row r="71" spans="1:9" ht="15" thickBot="1" x14ac:dyDescent="0.35">
      <c r="A71" s="2" t="s">
        <v>44</v>
      </c>
      <c r="B71" s="2" t="s">
        <v>10</v>
      </c>
      <c r="C71" s="2" t="s">
        <v>34</v>
      </c>
      <c r="D71" s="2" t="s">
        <v>39</v>
      </c>
      <c r="E71" s="2">
        <v>804.81</v>
      </c>
      <c r="F71" s="2">
        <v>1</v>
      </c>
      <c r="G71" s="2">
        <v>0.05</v>
      </c>
      <c r="H71" s="3">
        <v>45502</v>
      </c>
      <c r="I71" s="2">
        <v>344.06</v>
      </c>
    </row>
    <row r="72" spans="1:9" ht="15" thickBot="1" x14ac:dyDescent="0.35">
      <c r="A72" s="2" t="s">
        <v>22</v>
      </c>
      <c r="B72" s="2" t="s">
        <v>55</v>
      </c>
      <c r="C72" s="2" t="s">
        <v>34</v>
      </c>
      <c r="D72" s="2" t="s">
        <v>21</v>
      </c>
      <c r="E72" s="2">
        <v>608.66</v>
      </c>
      <c r="F72" s="2">
        <v>1</v>
      </c>
      <c r="G72" s="2">
        <v>0.05</v>
      </c>
      <c r="H72" s="3">
        <v>45503</v>
      </c>
      <c r="I72" s="2">
        <v>144.56</v>
      </c>
    </row>
    <row r="73" spans="1:9" ht="15" thickBot="1" x14ac:dyDescent="0.35">
      <c r="A73" s="2" t="s">
        <v>68</v>
      </c>
      <c r="B73" s="2" t="s">
        <v>69</v>
      </c>
      <c r="C73" s="2" t="s">
        <v>20</v>
      </c>
      <c r="D73" s="2" t="s">
        <v>39</v>
      </c>
      <c r="E73" s="2">
        <v>981.2</v>
      </c>
      <c r="F73" s="2">
        <v>19</v>
      </c>
      <c r="G73" s="2">
        <v>0</v>
      </c>
      <c r="H73" s="3">
        <v>45504</v>
      </c>
      <c r="I73" s="2">
        <v>441.54</v>
      </c>
    </row>
    <row r="74" spans="1:9" ht="15" thickBot="1" x14ac:dyDescent="0.35">
      <c r="A74" s="2" t="s">
        <v>70</v>
      </c>
      <c r="B74" s="2" t="s">
        <v>55</v>
      </c>
      <c r="C74" s="2" t="s">
        <v>18</v>
      </c>
      <c r="D74" s="2" t="s">
        <v>21</v>
      </c>
      <c r="E74" s="2">
        <v>539.77</v>
      </c>
      <c r="F74" s="2">
        <v>10</v>
      </c>
      <c r="G74" s="2">
        <v>0.15</v>
      </c>
      <c r="H74" s="3">
        <v>45509</v>
      </c>
      <c r="I74" s="2">
        <v>114.7</v>
      </c>
    </row>
    <row r="75" spans="1:9" ht="15" thickBot="1" x14ac:dyDescent="0.35">
      <c r="A75" s="2" t="s">
        <v>13</v>
      </c>
      <c r="B75" s="2" t="s">
        <v>71</v>
      </c>
      <c r="C75" s="2" t="s">
        <v>20</v>
      </c>
      <c r="D75" s="2" t="s">
        <v>12</v>
      </c>
      <c r="E75" s="2">
        <v>804.45</v>
      </c>
      <c r="F75" s="2">
        <v>5</v>
      </c>
      <c r="G75" s="2">
        <v>0.2</v>
      </c>
      <c r="H75" s="3">
        <v>45509</v>
      </c>
      <c r="I75" s="2">
        <v>257.42</v>
      </c>
    </row>
    <row r="76" spans="1:9" ht="15" thickBot="1" x14ac:dyDescent="0.35">
      <c r="A76" s="2" t="s">
        <v>70</v>
      </c>
      <c r="B76" s="2" t="s">
        <v>38</v>
      </c>
      <c r="C76" s="2" t="s">
        <v>11</v>
      </c>
      <c r="D76" s="2" t="s">
        <v>21</v>
      </c>
      <c r="E76" s="2">
        <v>1526.6</v>
      </c>
      <c r="F76" s="2">
        <v>13</v>
      </c>
      <c r="G76" s="2">
        <v>0.2</v>
      </c>
      <c r="H76" s="3">
        <v>45512</v>
      </c>
      <c r="I76" s="2">
        <v>305.32</v>
      </c>
    </row>
    <row r="77" spans="1:9" ht="15" thickBot="1" x14ac:dyDescent="0.35">
      <c r="A77" s="2" t="s">
        <v>13</v>
      </c>
      <c r="B77" s="2" t="s">
        <v>29</v>
      </c>
      <c r="C77" s="2" t="s">
        <v>11</v>
      </c>
      <c r="D77" s="2" t="s">
        <v>21</v>
      </c>
      <c r="E77" s="2">
        <v>1215.26</v>
      </c>
      <c r="F77" s="2">
        <v>5</v>
      </c>
      <c r="G77" s="2">
        <v>0.15</v>
      </c>
      <c r="H77" s="3">
        <v>45513</v>
      </c>
      <c r="I77" s="2">
        <v>258.24</v>
      </c>
    </row>
    <row r="78" spans="1:9" ht="15" thickBot="1" x14ac:dyDescent="0.35">
      <c r="A78" s="2" t="s">
        <v>19</v>
      </c>
      <c r="B78" s="2" t="s">
        <v>53</v>
      </c>
      <c r="C78" s="2" t="s">
        <v>34</v>
      </c>
      <c r="D78" s="2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2">
        <v>441.47</v>
      </c>
    </row>
    <row r="79" spans="1:9" ht="15" thickBot="1" x14ac:dyDescent="0.35">
      <c r="A79" s="2" t="s">
        <v>72</v>
      </c>
      <c r="B79" s="2" t="s">
        <v>45</v>
      </c>
      <c r="C79" s="2" t="s">
        <v>24</v>
      </c>
      <c r="D79" s="2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2">
        <v>172.26</v>
      </c>
    </row>
    <row r="80" spans="1:9" ht="15" thickBot="1" x14ac:dyDescent="0.35">
      <c r="A80" s="2" t="s">
        <v>30</v>
      </c>
      <c r="B80" s="2" t="s">
        <v>29</v>
      </c>
      <c r="C80" s="2" t="s">
        <v>11</v>
      </c>
      <c r="D80" s="2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2">
        <v>500.1</v>
      </c>
    </row>
    <row r="81" spans="1:9" ht="15" thickBot="1" x14ac:dyDescent="0.35">
      <c r="A81" s="2" t="s">
        <v>22</v>
      </c>
      <c r="B81" s="2" t="s">
        <v>31</v>
      </c>
      <c r="C81" s="2" t="s">
        <v>18</v>
      </c>
      <c r="D81" s="2" t="s">
        <v>15</v>
      </c>
      <c r="E81" s="2">
        <v>1291.47</v>
      </c>
      <c r="F81" s="2">
        <v>18</v>
      </c>
      <c r="G81" s="2">
        <v>0.1</v>
      </c>
      <c r="H81" s="3">
        <v>45526</v>
      </c>
      <c r="I81" s="2">
        <v>581.16</v>
      </c>
    </row>
    <row r="82" spans="1:9" ht="15" thickBot="1" x14ac:dyDescent="0.35">
      <c r="A82" s="2" t="s">
        <v>25</v>
      </c>
      <c r="B82" s="2" t="s">
        <v>55</v>
      </c>
      <c r="C82" s="2" t="s">
        <v>24</v>
      </c>
      <c r="D82" s="2" t="s">
        <v>12</v>
      </c>
      <c r="E82" s="2">
        <v>679.71</v>
      </c>
      <c r="F82" s="2">
        <v>19</v>
      </c>
      <c r="G82" s="2">
        <v>0</v>
      </c>
      <c r="H82" s="3">
        <v>45534</v>
      </c>
      <c r="I82" s="2">
        <v>271.88</v>
      </c>
    </row>
    <row r="83" spans="1:9" ht="15" thickBot="1" x14ac:dyDescent="0.35">
      <c r="A83" s="2" t="s">
        <v>68</v>
      </c>
      <c r="B83" s="2" t="s">
        <v>33</v>
      </c>
      <c r="C83" s="2" t="s">
        <v>18</v>
      </c>
      <c r="D83" s="2" t="s">
        <v>27</v>
      </c>
      <c r="E83" s="2">
        <v>1143.69</v>
      </c>
      <c r="F83" s="2">
        <v>17</v>
      </c>
      <c r="G83" s="2">
        <v>0</v>
      </c>
      <c r="H83" s="3">
        <v>45534</v>
      </c>
      <c r="I83" s="2">
        <v>400.29</v>
      </c>
    </row>
    <row r="84" spans="1:9" ht="15" thickBot="1" x14ac:dyDescent="0.35">
      <c r="A84" s="2" t="s">
        <v>52</v>
      </c>
      <c r="B84" s="2" t="s">
        <v>50</v>
      </c>
      <c r="C84" s="2" t="s">
        <v>34</v>
      </c>
      <c r="D84" s="2" t="s">
        <v>21</v>
      </c>
      <c r="E84" s="2">
        <v>790.08</v>
      </c>
      <c r="F84" s="2">
        <v>7</v>
      </c>
      <c r="G84" s="2">
        <v>0.1</v>
      </c>
      <c r="H84" s="3">
        <v>45536</v>
      </c>
      <c r="I84" s="2">
        <v>177.77</v>
      </c>
    </row>
    <row r="85" spans="1:9" ht="15" thickBot="1" x14ac:dyDescent="0.35">
      <c r="A85" s="2" t="s">
        <v>19</v>
      </c>
      <c r="B85" s="2" t="s">
        <v>48</v>
      </c>
      <c r="C85" s="2" t="s">
        <v>34</v>
      </c>
      <c r="D85" s="2" t="s">
        <v>12</v>
      </c>
      <c r="E85" s="2">
        <v>1070.68</v>
      </c>
      <c r="F85" s="2">
        <v>7</v>
      </c>
      <c r="G85" s="2">
        <v>0.05</v>
      </c>
      <c r="H85" s="3">
        <v>45536</v>
      </c>
      <c r="I85" s="2">
        <v>406.86</v>
      </c>
    </row>
    <row r="86" spans="1:9" ht="15" thickBot="1" x14ac:dyDescent="0.35">
      <c r="A86" s="2" t="s">
        <v>58</v>
      </c>
      <c r="B86" s="2" t="s">
        <v>36</v>
      </c>
      <c r="C86" s="2" t="s">
        <v>11</v>
      </c>
      <c r="D86" s="2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2">
        <v>526</v>
      </c>
    </row>
    <row r="87" spans="1:9" ht="15" thickBot="1" x14ac:dyDescent="0.35">
      <c r="A87" s="2" t="s">
        <v>67</v>
      </c>
      <c r="B87" s="2" t="s">
        <v>10</v>
      </c>
      <c r="C87" s="2" t="s">
        <v>20</v>
      </c>
      <c r="D87" s="2" t="s">
        <v>21</v>
      </c>
      <c r="E87" s="2">
        <v>1335.87</v>
      </c>
      <c r="F87" s="2">
        <v>17</v>
      </c>
      <c r="G87" s="2">
        <v>0</v>
      </c>
      <c r="H87" s="3">
        <v>45544</v>
      </c>
      <c r="I87" s="2">
        <v>333.97</v>
      </c>
    </row>
    <row r="88" spans="1:9" ht="15" thickBot="1" x14ac:dyDescent="0.35">
      <c r="A88" s="2" t="s">
        <v>40</v>
      </c>
      <c r="B88" s="2" t="s">
        <v>55</v>
      </c>
      <c r="C88" s="2" t="s">
        <v>18</v>
      </c>
      <c r="D88" s="2" t="s">
        <v>27</v>
      </c>
      <c r="E88" s="2">
        <v>873.7</v>
      </c>
      <c r="F88" s="2">
        <v>9</v>
      </c>
      <c r="G88" s="2">
        <v>0</v>
      </c>
      <c r="H88" s="3">
        <v>45546</v>
      </c>
      <c r="I88" s="2">
        <v>305.8</v>
      </c>
    </row>
    <row r="89" spans="1:9" ht="15" thickBot="1" x14ac:dyDescent="0.35">
      <c r="A89" s="2" t="s">
        <v>72</v>
      </c>
      <c r="B89" s="2" t="s">
        <v>64</v>
      </c>
      <c r="C89" s="2" t="s">
        <v>11</v>
      </c>
      <c r="D89" s="2" t="s">
        <v>39</v>
      </c>
      <c r="E89" s="2">
        <v>1443.98</v>
      </c>
      <c r="F89" s="2">
        <v>19</v>
      </c>
      <c r="G89" s="2">
        <v>0</v>
      </c>
      <c r="H89" s="3">
        <v>45547</v>
      </c>
      <c r="I89" s="2">
        <v>649.79</v>
      </c>
    </row>
    <row r="90" spans="1:9" ht="15" thickBot="1" x14ac:dyDescent="0.35">
      <c r="A90" s="2" t="s">
        <v>40</v>
      </c>
      <c r="B90" s="2" t="s">
        <v>23</v>
      </c>
      <c r="C90" s="2" t="s">
        <v>18</v>
      </c>
      <c r="D90" s="2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2">
        <v>441.53</v>
      </c>
    </row>
    <row r="91" spans="1:9" ht="15" thickBot="1" x14ac:dyDescent="0.35">
      <c r="A91" s="2" t="s">
        <v>49</v>
      </c>
      <c r="B91" s="2" t="s">
        <v>50</v>
      </c>
      <c r="C91" s="2" t="s">
        <v>20</v>
      </c>
      <c r="D91" s="2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2">
        <v>480.51</v>
      </c>
    </row>
    <row r="92" spans="1:9" ht="15" thickBot="1" x14ac:dyDescent="0.35">
      <c r="A92" s="2" t="s">
        <v>25</v>
      </c>
      <c r="B92" s="2" t="s">
        <v>66</v>
      </c>
      <c r="C92" s="2" t="s">
        <v>11</v>
      </c>
      <c r="D92" s="2" t="s">
        <v>27</v>
      </c>
      <c r="E92" s="2">
        <v>1101.55</v>
      </c>
      <c r="F92" s="2">
        <v>4</v>
      </c>
      <c r="G92" s="2">
        <v>0.1</v>
      </c>
      <c r="H92" s="3">
        <v>45551</v>
      </c>
      <c r="I92" s="2">
        <v>346.99</v>
      </c>
    </row>
    <row r="93" spans="1:9" ht="15" thickBot="1" x14ac:dyDescent="0.35">
      <c r="A93" s="2" t="s">
        <v>73</v>
      </c>
      <c r="B93" s="2" t="s">
        <v>14</v>
      </c>
      <c r="C93" s="2" t="s">
        <v>20</v>
      </c>
      <c r="D93" s="2" t="s">
        <v>27</v>
      </c>
      <c r="E93" s="2">
        <v>727.73</v>
      </c>
      <c r="F93" s="2">
        <v>1</v>
      </c>
      <c r="G93" s="2">
        <v>0.1</v>
      </c>
      <c r="H93" s="3">
        <v>45552</v>
      </c>
      <c r="I93" s="2">
        <v>229.23</v>
      </c>
    </row>
    <row r="94" spans="1:9" ht="15" thickBot="1" x14ac:dyDescent="0.35">
      <c r="A94" s="2" t="s">
        <v>74</v>
      </c>
      <c r="B94" s="2" t="s">
        <v>38</v>
      </c>
      <c r="C94" s="2" t="s">
        <v>18</v>
      </c>
      <c r="D94" s="2" t="s">
        <v>39</v>
      </c>
      <c r="E94" s="2">
        <v>875.41</v>
      </c>
      <c r="F94" s="2">
        <v>13</v>
      </c>
      <c r="G94" s="2">
        <v>0.15</v>
      </c>
      <c r="H94" s="3">
        <v>45552</v>
      </c>
      <c r="I94" s="2">
        <v>334.84</v>
      </c>
    </row>
    <row r="95" spans="1:9" ht="15" thickBot="1" x14ac:dyDescent="0.35">
      <c r="A95" s="2" t="s">
        <v>67</v>
      </c>
      <c r="B95" s="2" t="s">
        <v>23</v>
      </c>
      <c r="C95" s="2" t="s">
        <v>11</v>
      </c>
      <c r="D95" s="2" t="s">
        <v>21</v>
      </c>
      <c r="E95" s="2">
        <v>1158.94</v>
      </c>
      <c r="F95" s="2">
        <v>19</v>
      </c>
      <c r="G95" s="2">
        <v>0.2</v>
      </c>
      <c r="H95" s="3">
        <v>45553</v>
      </c>
      <c r="I95" s="2">
        <v>231.79</v>
      </c>
    </row>
    <row r="96" spans="1:9" ht="15" thickBot="1" x14ac:dyDescent="0.35">
      <c r="A96" s="2" t="s">
        <v>75</v>
      </c>
      <c r="B96" s="2" t="s">
        <v>47</v>
      </c>
      <c r="C96" s="2" t="s">
        <v>20</v>
      </c>
      <c r="D96" s="2" t="s">
        <v>12</v>
      </c>
      <c r="E96" s="2">
        <v>966.3</v>
      </c>
      <c r="F96" s="2">
        <v>2</v>
      </c>
      <c r="G96" s="2">
        <v>0.15</v>
      </c>
      <c r="H96" s="3">
        <v>45557</v>
      </c>
      <c r="I96" s="2">
        <v>328.54</v>
      </c>
    </row>
    <row r="97" spans="1:9" ht="15" thickBot="1" x14ac:dyDescent="0.35">
      <c r="A97" s="2" t="s">
        <v>68</v>
      </c>
      <c r="B97" s="2" t="s">
        <v>17</v>
      </c>
      <c r="C97" s="2" t="s">
        <v>20</v>
      </c>
      <c r="D97" s="2" t="s">
        <v>12</v>
      </c>
      <c r="E97" s="2">
        <v>917.48</v>
      </c>
      <c r="F97" s="2">
        <v>6</v>
      </c>
      <c r="G97" s="2">
        <v>0</v>
      </c>
      <c r="H97" s="3">
        <v>45558</v>
      </c>
      <c r="I97" s="2">
        <v>366.99</v>
      </c>
    </row>
    <row r="98" spans="1:9" ht="15" thickBot="1" x14ac:dyDescent="0.35">
      <c r="A98" s="2" t="s">
        <v>41</v>
      </c>
      <c r="B98" s="2" t="s">
        <v>61</v>
      </c>
      <c r="C98" s="2" t="s">
        <v>11</v>
      </c>
      <c r="D98" s="2" t="s">
        <v>27</v>
      </c>
      <c r="E98" s="2">
        <v>1172.97</v>
      </c>
      <c r="F98" s="2">
        <v>7</v>
      </c>
      <c r="G98" s="2">
        <v>0.15</v>
      </c>
      <c r="H98" s="3">
        <v>45559</v>
      </c>
      <c r="I98" s="2">
        <v>348.96</v>
      </c>
    </row>
    <row r="99" spans="1:9" ht="15" thickBot="1" x14ac:dyDescent="0.35">
      <c r="A99" s="2" t="s">
        <v>57</v>
      </c>
      <c r="B99" s="2" t="s">
        <v>23</v>
      </c>
      <c r="C99" s="2" t="s">
        <v>24</v>
      </c>
      <c r="D99" s="2" t="s">
        <v>15</v>
      </c>
      <c r="E99" s="2">
        <v>1205.82</v>
      </c>
      <c r="F99" s="2">
        <v>11</v>
      </c>
      <c r="G99" s="2">
        <v>0.1</v>
      </c>
      <c r="H99" s="3">
        <v>45559</v>
      </c>
      <c r="I99" s="2">
        <v>542.62</v>
      </c>
    </row>
    <row r="100" spans="1:9" ht="15" thickBot="1" x14ac:dyDescent="0.35">
      <c r="A100" s="2" t="s">
        <v>16</v>
      </c>
      <c r="B100" s="2" t="s">
        <v>64</v>
      </c>
      <c r="C100" s="2" t="s">
        <v>11</v>
      </c>
      <c r="D100" s="2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2">
        <v>297.69</v>
      </c>
    </row>
    <row r="101" spans="1:9" ht="15" thickBot="1" x14ac:dyDescent="0.35">
      <c r="A101" s="2" t="s">
        <v>67</v>
      </c>
      <c r="B101" s="2" t="s">
        <v>23</v>
      </c>
      <c r="C101" s="2" t="s">
        <v>34</v>
      </c>
      <c r="D101" s="2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2">
        <v>451.1</v>
      </c>
    </row>
    <row r="102" spans="1:9" ht="15" thickBot="1" x14ac:dyDescent="0.35">
      <c r="A102" s="2" t="s">
        <v>74</v>
      </c>
      <c r="B102" s="2" t="s">
        <v>38</v>
      </c>
      <c r="C102" s="2" t="s">
        <v>24</v>
      </c>
      <c r="D102" s="2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2">
        <v>210.95</v>
      </c>
    </row>
    <row r="103" spans="1:9" ht="29.4" thickBot="1" x14ac:dyDescent="0.35">
      <c r="A103" s="2" t="s">
        <v>60</v>
      </c>
      <c r="B103" s="2" t="s">
        <v>26</v>
      </c>
      <c r="C103" s="2" t="s">
        <v>24</v>
      </c>
      <c r="D103" s="2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2">
        <v>445.59</v>
      </c>
    </row>
    <row r="104" spans="1:9" ht="15" thickBot="1" x14ac:dyDescent="0.35">
      <c r="A104" s="2" t="s">
        <v>44</v>
      </c>
      <c r="B104" s="2" t="s">
        <v>56</v>
      </c>
      <c r="C104" s="2" t="s">
        <v>34</v>
      </c>
      <c r="D104" s="2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2">
        <v>202.82</v>
      </c>
    </row>
    <row r="105" spans="1:9" ht="15" thickBot="1" x14ac:dyDescent="0.35">
      <c r="A105" s="2" t="s">
        <v>13</v>
      </c>
      <c r="B105" s="2" t="s">
        <v>48</v>
      </c>
      <c r="C105" s="2" t="s">
        <v>24</v>
      </c>
      <c r="D105" s="2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2">
        <v>231.32</v>
      </c>
    </row>
    <row r="106" spans="1:9" ht="15" thickBot="1" x14ac:dyDescent="0.35">
      <c r="A106" s="2" t="s">
        <v>54</v>
      </c>
      <c r="B106" s="2" t="s">
        <v>47</v>
      </c>
      <c r="C106" s="2" t="s">
        <v>18</v>
      </c>
      <c r="D106" s="2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2">
        <v>450.29</v>
      </c>
    </row>
    <row r="107" spans="1:9" ht="15" thickBot="1" x14ac:dyDescent="0.35">
      <c r="A107" s="2" t="s">
        <v>37</v>
      </c>
      <c r="B107" s="2" t="s">
        <v>64</v>
      </c>
      <c r="C107" s="2" t="s">
        <v>20</v>
      </c>
      <c r="D107" s="2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2">
        <v>307.72000000000003</v>
      </c>
    </row>
    <row r="108" spans="1:9" ht="15" thickBot="1" x14ac:dyDescent="0.35">
      <c r="A108" s="2" t="s">
        <v>44</v>
      </c>
      <c r="B108" s="2" t="s">
        <v>23</v>
      </c>
      <c r="C108" s="2" t="s">
        <v>18</v>
      </c>
      <c r="D108" s="2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2">
        <v>367.59</v>
      </c>
    </row>
    <row r="109" spans="1:9" ht="15" thickBot="1" x14ac:dyDescent="0.35">
      <c r="A109" s="2" t="s">
        <v>58</v>
      </c>
      <c r="B109" s="2" t="s">
        <v>23</v>
      </c>
      <c r="C109" s="2" t="s">
        <v>11</v>
      </c>
      <c r="D109" s="2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2">
        <v>769.46</v>
      </c>
    </row>
    <row r="110" spans="1:9" ht="15" thickBot="1" x14ac:dyDescent="0.35">
      <c r="A110" s="2" t="s">
        <v>54</v>
      </c>
      <c r="B110" s="2" t="s">
        <v>66</v>
      </c>
      <c r="C110" s="2" t="s">
        <v>34</v>
      </c>
      <c r="D110" s="2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2">
        <v>327.92</v>
      </c>
    </row>
    <row r="111" spans="1:9" ht="15" thickBot="1" x14ac:dyDescent="0.35">
      <c r="A111" s="2" t="s">
        <v>9</v>
      </c>
      <c r="B111" s="2" t="s">
        <v>33</v>
      </c>
      <c r="C111" s="2" t="s">
        <v>34</v>
      </c>
      <c r="D111" s="2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2">
        <v>553.29999999999995</v>
      </c>
    </row>
    <row r="112" spans="1:9" ht="15" thickBot="1" x14ac:dyDescent="0.35">
      <c r="A112" s="2" t="s">
        <v>70</v>
      </c>
      <c r="B112" s="2" t="s">
        <v>66</v>
      </c>
      <c r="C112" s="2" t="s">
        <v>18</v>
      </c>
      <c r="D112" s="2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2">
        <v>352.86</v>
      </c>
    </row>
    <row r="113" spans="1:9" ht="15" thickBot="1" x14ac:dyDescent="0.35">
      <c r="A113" s="2" t="s">
        <v>74</v>
      </c>
      <c r="B113" s="2" t="s">
        <v>23</v>
      </c>
      <c r="C113" s="2" t="s">
        <v>11</v>
      </c>
      <c r="D113" s="2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2">
        <v>313.91000000000003</v>
      </c>
    </row>
    <row r="114" spans="1:9" ht="15" thickBot="1" x14ac:dyDescent="0.35">
      <c r="A114" s="2" t="s">
        <v>46</v>
      </c>
      <c r="B114" s="2" t="s">
        <v>71</v>
      </c>
      <c r="C114" s="2" t="s">
        <v>11</v>
      </c>
      <c r="D114" s="2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2">
        <v>355.1</v>
      </c>
    </row>
    <row r="115" spans="1:9" ht="15" thickBot="1" x14ac:dyDescent="0.35">
      <c r="A115" s="2" t="s">
        <v>32</v>
      </c>
      <c r="B115" s="2" t="s">
        <v>38</v>
      </c>
      <c r="C115" s="2" t="s">
        <v>20</v>
      </c>
      <c r="D115" s="2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2">
        <v>192.76</v>
      </c>
    </row>
    <row r="116" spans="1:9" ht="15" thickBot="1" x14ac:dyDescent="0.35">
      <c r="A116" s="2" t="s">
        <v>67</v>
      </c>
      <c r="B116" s="2" t="s">
        <v>69</v>
      </c>
      <c r="C116" s="2" t="s">
        <v>24</v>
      </c>
      <c r="D116" s="2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2">
        <v>264.44</v>
      </c>
    </row>
    <row r="117" spans="1:9" ht="15" thickBot="1" x14ac:dyDescent="0.35">
      <c r="A117" s="2" t="s">
        <v>13</v>
      </c>
      <c r="B117" s="2" t="s">
        <v>55</v>
      </c>
      <c r="C117" s="2" t="s">
        <v>11</v>
      </c>
      <c r="D117" s="2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2">
        <v>172.21</v>
      </c>
    </row>
    <row r="118" spans="1:9" ht="15" thickBot="1" x14ac:dyDescent="0.35">
      <c r="A118" s="2" t="s">
        <v>73</v>
      </c>
      <c r="B118" s="2" t="s">
        <v>29</v>
      </c>
      <c r="C118" s="2" t="s">
        <v>34</v>
      </c>
      <c r="D118" s="2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2">
        <v>474.66</v>
      </c>
    </row>
    <row r="119" spans="1:9" ht="15" thickBot="1" x14ac:dyDescent="0.35">
      <c r="A119" s="2" t="s">
        <v>44</v>
      </c>
      <c r="B119" s="2" t="s">
        <v>23</v>
      </c>
      <c r="C119" s="2" t="s">
        <v>18</v>
      </c>
      <c r="D119" s="2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2">
        <v>433.58</v>
      </c>
    </row>
    <row r="120" spans="1:9" ht="15" thickBot="1" x14ac:dyDescent="0.35">
      <c r="A120" s="2" t="s">
        <v>54</v>
      </c>
      <c r="B120" s="2" t="s">
        <v>48</v>
      </c>
      <c r="C120" s="2" t="s">
        <v>18</v>
      </c>
      <c r="D120" s="2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2">
        <v>343.6</v>
      </c>
    </row>
    <row r="121" spans="1:9" ht="15" thickBot="1" x14ac:dyDescent="0.35">
      <c r="A121" s="2" t="s">
        <v>30</v>
      </c>
      <c r="B121" s="2" t="s">
        <v>59</v>
      </c>
      <c r="C121" s="2" t="s">
        <v>24</v>
      </c>
      <c r="D121" s="2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2">
        <v>318.3</v>
      </c>
    </row>
    <row r="122" spans="1:9" ht="15" thickBot="1" x14ac:dyDescent="0.35">
      <c r="A122" s="2" t="s">
        <v>28</v>
      </c>
      <c r="B122" s="2" t="s">
        <v>45</v>
      </c>
      <c r="C122" s="2" t="s">
        <v>24</v>
      </c>
      <c r="D122" s="2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2">
        <v>358.41</v>
      </c>
    </row>
    <row r="123" spans="1:9" ht="15" thickBot="1" x14ac:dyDescent="0.35">
      <c r="A123" s="2" t="s">
        <v>52</v>
      </c>
      <c r="B123" s="2" t="s">
        <v>50</v>
      </c>
      <c r="C123" s="2" t="s">
        <v>20</v>
      </c>
      <c r="D123" s="2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2">
        <v>581.5</v>
      </c>
    </row>
    <row r="124" spans="1:9" ht="15" thickBot="1" x14ac:dyDescent="0.35">
      <c r="A124" s="2" t="s">
        <v>54</v>
      </c>
      <c r="B124" s="2" t="s">
        <v>45</v>
      </c>
      <c r="C124" s="2" t="s">
        <v>18</v>
      </c>
      <c r="D124" s="2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2">
        <v>410.9</v>
      </c>
    </row>
    <row r="125" spans="1:9" ht="15" thickBot="1" x14ac:dyDescent="0.35">
      <c r="A125" s="2" t="s">
        <v>9</v>
      </c>
      <c r="B125" s="2" t="s">
        <v>17</v>
      </c>
      <c r="C125" s="2" t="s">
        <v>20</v>
      </c>
      <c r="D125" s="2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2">
        <v>179.51</v>
      </c>
    </row>
    <row r="126" spans="1:9" ht="15" thickBot="1" x14ac:dyDescent="0.35">
      <c r="A126" s="2" t="s">
        <v>72</v>
      </c>
      <c r="B126" s="2" t="s">
        <v>17</v>
      </c>
      <c r="C126" s="2" t="s">
        <v>34</v>
      </c>
      <c r="D126" s="2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2">
        <v>511.14</v>
      </c>
    </row>
    <row r="127" spans="1:9" ht="15" thickBot="1" x14ac:dyDescent="0.35">
      <c r="A127" s="2" t="s">
        <v>70</v>
      </c>
      <c r="B127" s="2" t="s">
        <v>23</v>
      </c>
      <c r="C127" s="2" t="s">
        <v>24</v>
      </c>
      <c r="D127" s="2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2">
        <v>150.18</v>
      </c>
    </row>
    <row r="128" spans="1:9" ht="15" thickBot="1" x14ac:dyDescent="0.35">
      <c r="A128" s="2" t="s">
        <v>65</v>
      </c>
      <c r="B128" s="2" t="s">
        <v>50</v>
      </c>
      <c r="C128" s="2" t="s">
        <v>18</v>
      </c>
      <c r="D128" s="2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2">
        <v>352.65</v>
      </c>
    </row>
    <row r="129" spans="1:9" ht="15" thickBot="1" x14ac:dyDescent="0.35">
      <c r="A129" s="2" t="s">
        <v>32</v>
      </c>
      <c r="B129" s="2" t="s">
        <v>61</v>
      </c>
      <c r="C129" s="2" t="s">
        <v>20</v>
      </c>
      <c r="D129" s="2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2">
        <v>472.62</v>
      </c>
    </row>
    <row r="130" spans="1:9" ht="15" thickBot="1" x14ac:dyDescent="0.35">
      <c r="A130" s="2" t="s">
        <v>41</v>
      </c>
      <c r="B130" s="2" t="s">
        <v>45</v>
      </c>
      <c r="C130" s="2" t="s">
        <v>18</v>
      </c>
      <c r="D130" s="2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2">
        <v>195.33</v>
      </c>
    </row>
    <row r="131" spans="1:9" ht="15" thickBot="1" x14ac:dyDescent="0.35">
      <c r="A131" s="2" t="s">
        <v>74</v>
      </c>
      <c r="B131" s="2" t="s">
        <v>23</v>
      </c>
      <c r="C131" s="2" t="s">
        <v>11</v>
      </c>
      <c r="D131" s="2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2">
        <v>64.63</v>
      </c>
    </row>
    <row r="132" spans="1:9" ht="15" thickBot="1" x14ac:dyDescent="0.35">
      <c r="A132" s="2" t="s">
        <v>63</v>
      </c>
      <c r="B132" s="2" t="s">
        <v>61</v>
      </c>
      <c r="C132" s="2" t="s">
        <v>18</v>
      </c>
      <c r="D132" s="2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2">
        <v>461.12</v>
      </c>
    </row>
    <row r="133" spans="1:9" ht="15" thickBot="1" x14ac:dyDescent="0.35">
      <c r="A133" s="2" t="s">
        <v>57</v>
      </c>
      <c r="B133" s="2" t="s">
        <v>38</v>
      </c>
      <c r="C133" s="2" t="s">
        <v>34</v>
      </c>
      <c r="D133" s="2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2">
        <v>437.11</v>
      </c>
    </row>
    <row r="134" spans="1:9" ht="15" thickBot="1" x14ac:dyDescent="0.35">
      <c r="A134" s="2" t="s">
        <v>37</v>
      </c>
      <c r="B134" s="2" t="s">
        <v>71</v>
      </c>
      <c r="C134" s="2" t="s">
        <v>20</v>
      </c>
      <c r="D134" s="2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2">
        <v>268.97000000000003</v>
      </c>
    </row>
    <row r="135" spans="1:9" ht="15" thickBot="1" x14ac:dyDescent="0.35">
      <c r="A135" s="2" t="s">
        <v>75</v>
      </c>
      <c r="B135" s="2" t="s">
        <v>45</v>
      </c>
      <c r="C135" s="2" t="s">
        <v>20</v>
      </c>
      <c r="D135" s="2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2">
        <v>265.26</v>
      </c>
    </row>
    <row r="136" spans="1:9" ht="15" thickBot="1" x14ac:dyDescent="0.35">
      <c r="A136" s="2" t="s">
        <v>28</v>
      </c>
      <c r="B136" s="2" t="s">
        <v>43</v>
      </c>
      <c r="C136" s="2" t="s">
        <v>11</v>
      </c>
      <c r="D136" s="2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2">
        <v>178.91</v>
      </c>
    </row>
    <row r="137" spans="1:9" ht="15" thickBot="1" x14ac:dyDescent="0.35">
      <c r="A137" s="2" t="s">
        <v>25</v>
      </c>
      <c r="B137" s="2" t="s">
        <v>38</v>
      </c>
      <c r="C137" s="2" t="s">
        <v>24</v>
      </c>
      <c r="D137" s="2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2">
        <v>356.5</v>
      </c>
    </row>
    <row r="138" spans="1:9" ht="15" thickBot="1" x14ac:dyDescent="0.35">
      <c r="A138" s="2" t="s">
        <v>58</v>
      </c>
      <c r="B138" s="2" t="s">
        <v>71</v>
      </c>
      <c r="C138" s="2" t="s">
        <v>11</v>
      </c>
      <c r="D138" s="2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2">
        <v>229.65</v>
      </c>
    </row>
    <row r="139" spans="1:9" ht="15" thickBot="1" x14ac:dyDescent="0.35">
      <c r="A139" s="2" t="s">
        <v>58</v>
      </c>
      <c r="B139" s="2" t="s">
        <v>38</v>
      </c>
      <c r="C139" s="2" t="s">
        <v>34</v>
      </c>
      <c r="D139" s="2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2">
        <v>121.54</v>
      </c>
    </row>
    <row r="140" spans="1:9" ht="15" thickBot="1" x14ac:dyDescent="0.35">
      <c r="A140" s="2" t="s">
        <v>65</v>
      </c>
      <c r="B140" s="2" t="s">
        <v>61</v>
      </c>
      <c r="C140" s="2" t="s">
        <v>20</v>
      </c>
      <c r="D140" s="2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2">
        <v>268</v>
      </c>
    </row>
    <row r="141" spans="1:9" ht="29.4" thickBot="1" x14ac:dyDescent="0.35">
      <c r="A141" s="2" t="s">
        <v>28</v>
      </c>
      <c r="B141" s="2" t="s">
        <v>26</v>
      </c>
      <c r="C141" s="2" t="s">
        <v>34</v>
      </c>
      <c r="D141" s="2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2">
        <v>426.16</v>
      </c>
    </row>
    <row r="142" spans="1:9" ht="15" thickBot="1" x14ac:dyDescent="0.35">
      <c r="A142" s="2" t="s">
        <v>74</v>
      </c>
      <c r="B142" s="2" t="s">
        <v>29</v>
      </c>
      <c r="C142" s="2" t="s">
        <v>34</v>
      </c>
      <c r="D142" s="2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2">
        <v>316.32</v>
      </c>
    </row>
    <row r="143" spans="1:9" ht="15" thickBot="1" x14ac:dyDescent="0.35">
      <c r="A143" s="2" t="s">
        <v>30</v>
      </c>
      <c r="B143" s="2" t="s">
        <v>66</v>
      </c>
      <c r="C143" s="2" t="s">
        <v>18</v>
      </c>
      <c r="D143" s="2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2">
        <v>492.5</v>
      </c>
    </row>
    <row r="144" spans="1:9" ht="15" thickBot="1" x14ac:dyDescent="0.35">
      <c r="A144" s="2" t="s">
        <v>30</v>
      </c>
      <c r="B144" s="2" t="s">
        <v>43</v>
      </c>
      <c r="C144" s="2" t="s">
        <v>11</v>
      </c>
      <c r="D144" s="2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2">
        <v>232.33</v>
      </c>
    </row>
    <row r="145" spans="1:9" ht="15" thickBot="1" x14ac:dyDescent="0.35">
      <c r="A145" s="2" t="s">
        <v>49</v>
      </c>
      <c r="B145" s="2" t="s">
        <v>45</v>
      </c>
      <c r="C145" s="2" t="s">
        <v>34</v>
      </c>
      <c r="D145" s="2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2">
        <v>165.97</v>
      </c>
    </row>
    <row r="146" spans="1:9" ht="15" thickBot="1" x14ac:dyDescent="0.35">
      <c r="A146" s="2" t="s">
        <v>72</v>
      </c>
      <c r="B146" s="2" t="s">
        <v>31</v>
      </c>
      <c r="C146" s="2" t="s">
        <v>24</v>
      </c>
      <c r="D146" s="2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2">
        <v>675.5</v>
      </c>
    </row>
    <row r="147" spans="1:9" ht="15" thickBot="1" x14ac:dyDescent="0.35">
      <c r="A147" s="2" t="s">
        <v>28</v>
      </c>
      <c r="B147" s="2" t="s">
        <v>71</v>
      </c>
      <c r="C147" s="2" t="s">
        <v>24</v>
      </c>
      <c r="D147" s="2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2">
        <v>134.66</v>
      </c>
    </row>
    <row r="148" spans="1:9" ht="15" thickBot="1" x14ac:dyDescent="0.35">
      <c r="A148" s="2" t="s">
        <v>49</v>
      </c>
      <c r="B148" s="2" t="s">
        <v>23</v>
      </c>
      <c r="C148" s="2" t="s">
        <v>11</v>
      </c>
      <c r="D148" s="2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2">
        <v>487.36</v>
      </c>
    </row>
    <row r="149" spans="1:9" ht="15" thickBot="1" x14ac:dyDescent="0.35">
      <c r="A149" s="2" t="s">
        <v>63</v>
      </c>
      <c r="B149" s="2" t="s">
        <v>69</v>
      </c>
      <c r="C149" s="2" t="s">
        <v>34</v>
      </c>
      <c r="D149" s="2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2">
        <v>314.74</v>
      </c>
    </row>
    <row r="150" spans="1:9" ht="15" thickBot="1" x14ac:dyDescent="0.35">
      <c r="A150" s="2" t="s">
        <v>52</v>
      </c>
      <c r="B150" s="2" t="s">
        <v>48</v>
      </c>
      <c r="C150" s="2" t="s">
        <v>24</v>
      </c>
      <c r="D150" s="2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2">
        <v>111.39</v>
      </c>
    </row>
    <row r="151" spans="1:9" ht="15" thickBot="1" x14ac:dyDescent="0.35">
      <c r="A151" s="2" t="s">
        <v>63</v>
      </c>
      <c r="B151" s="2" t="s">
        <v>29</v>
      </c>
      <c r="C151" s="2" t="s">
        <v>24</v>
      </c>
      <c r="D151" s="2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2">
        <v>318.47000000000003</v>
      </c>
    </row>
    <row r="152" spans="1:9" ht="15" thickBot="1" x14ac:dyDescent="0.35">
      <c r="A152" s="2" t="s">
        <v>52</v>
      </c>
      <c r="B152" s="2" t="s">
        <v>23</v>
      </c>
      <c r="C152" s="2" t="s">
        <v>34</v>
      </c>
      <c r="D152" s="2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2">
        <v>301.75</v>
      </c>
    </row>
    <row r="153" spans="1:9" ht="15" thickBot="1" x14ac:dyDescent="0.35">
      <c r="A153" s="2" t="s">
        <v>60</v>
      </c>
      <c r="B153" s="2" t="s">
        <v>17</v>
      </c>
      <c r="C153" s="2" t="s">
        <v>20</v>
      </c>
      <c r="D153" s="2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2">
        <v>413.36</v>
      </c>
    </row>
    <row r="154" spans="1:9" ht="15" thickBot="1" x14ac:dyDescent="0.35">
      <c r="A154" s="2" t="s">
        <v>35</v>
      </c>
      <c r="B154" s="2" t="s">
        <v>29</v>
      </c>
      <c r="C154" s="2" t="s">
        <v>11</v>
      </c>
      <c r="D154" s="2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2">
        <v>286.68</v>
      </c>
    </row>
    <row r="155" spans="1:9" ht="15" thickBot="1" x14ac:dyDescent="0.35">
      <c r="A155" s="2" t="s">
        <v>73</v>
      </c>
      <c r="B155" s="2" t="s">
        <v>59</v>
      </c>
      <c r="C155" s="2" t="s">
        <v>24</v>
      </c>
      <c r="D155" s="2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2">
        <v>556.30999999999995</v>
      </c>
    </row>
    <row r="156" spans="1:9" ht="15" thickBot="1" x14ac:dyDescent="0.35">
      <c r="A156" s="2" t="s">
        <v>58</v>
      </c>
      <c r="B156" s="2" t="s">
        <v>14</v>
      </c>
      <c r="C156" s="2" t="s">
        <v>20</v>
      </c>
      <c r="D156" s="2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2">
        <v>332.19</v>
      </c>
    </row>
    <row r="157" spans="1:9" ht="15" thickBot="1" x14ac:dyDescent="0.35">
      <c r="A157" s="2" t="s">
        <v>58</v>
      </c>
      <c r="B157" s="2" t="s">
        <v>23</v>
      </c>
      <c r="C157" s="2" t="s">
        <v>24</v>
      </c>
      <c r="D157" s="2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2">
        <v>336.24</v>
      </c>
    </row>
    <row r="158" spans="1:9" ht="15" thickBot="1" x14ac:dyDescent="0.35">
      <c r="A158" s="2" t="s">
        <v>58</v>
      </c>
      <c r="B158" s="2" t="s">
        <v>36</v>
      </c>
      <c r="C158" s="2" t="s">
        <v>11</v>
      </c>
      <c r="D158" s="2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2">
        <v>180.39</v>
      </c>
    </row>
    <row r="159" spans="1:9" ht="15" thickBot="1" x14ac:dyDescent="0.35">
      <c r="A159" s="2" t="s">
        <v>44</v>
      </c>
      <c r="B159" s="2" t="s">
        <v>45</v>
      </c>
      <c r="C159" s="2" t="s">
        <v>34</v>
      </c>
      <c r="D159" s="2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2">
        <v>484.35</v>
      </c>
    </row>
    <row r="160" spans="1:9" ht="15" thickBot="1" x14ac:dyDescent="0.35">
      <c r="A160" s="2" t="s">
        <v>44</v>
      </c>
      <c r="B160" s="2" t="s">
        <v>31</v>
      </c>
      <c r="C160" s="2" t="s">
        <v>34</v>
      </c>
      <c r="D160" s="2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2">
        <v>562.82000000000005</v>
      </c>
    </row>
    <row r="161" spans="1:9" ht="15" thickBot="1" x14ac:dyDescent="0.35">
      <c r="A161" s="2" t="s">
        <v>40</v>
      </c>
      <c r="B161" s="2" t="s">
        <v>17</v>
      </c>
      <c r="C161" s="2" t="s">
        <v>20</v>
      </c>
      <c r="D161" s="2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2">
        <v>447.34</v>
      </c>
    </row>
    <row r="162" spans="1:9" ht="15" thickBot="1" x14ac:dyDescent="0.35">
      <c r="A162" s="2" t="s">
        <v>70</v>
      </c>
      <c r="B162" s="2" t="s">
        <v>53</v>
      </c>
      <c r="C162" s="2" t="s">
        <v>24</v>
      </c>
      <c r="D162" s="2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2">
        <v>649.04999999999995</v>
      </c>
    </row>
    <row r="163" spans="1:9" ht="15" thickBot="1" x14ac:dyDescent="0.35">
      <c r="A163" s="2" t="s">
        <v>75</v>
      </c>
      <c r="B163" s="2" t="s">
        <v>48</v>
      </c>
      <c r="C163" s="2" t="s">
        <v>24</v>
      </c>
      <c r="D163" s="2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2">
        <v>205</v>
      </c>
    </row>
    <row r="164" spans="1:9" ht="15" thickBot="1" x14ac:dyDescent="0.35">
      <c r="A164" s="2" t="s">
        <v>22</v>
      </c>
      <c r="B164" s="2" t="s">
        <v>43</v>
      </c>
      <c r="C164" s="2" t="s">
        <v>11</v>
      </c>
      <c r="D164" s="2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2">
        <v>263.32</v>
      </c>
    </row>
    <row r="165" spans="1:9" ht="15" thickBot="1" x14ac:dyDescent="0.35">
      <c r="A165" s="2" t="s">
        <v>22</v>
      </c>
      <c r="B165" s="2" t="s">
        <v>31</v>
      </c>
      <c r="C165" s="2" t="s">
        <v>18</v>
      </c>
      <c r="D165" s="2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2">
        <v>443.99</v>
      </c>
    </row>
    <row r="166" spans="1:9" ht="15" thickBot="1" x14ac:dyDescent="0.35">
      <c r="A166" s="2" t="s">
        <v>58</v>
      </c>
      <c r="B166" s="2" t="s">
        <v>45</v>
      </c>
      <c r="C166" s="2" t="s">
        <v>18</v>
      </c>
      <c r="D166" s="2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2">
        <v>395.31</v>
      </c>
    </row>
    <row r="167" spans="1:9" ht="15" thickBot="1" x14ac:dyDescent="0.35">
      <c r="A167" s="2" t="s">
        <v>65</v>
      </c>
      <c r="B167" s="2" t="s">
        <v>48</v>
      </c>
      <c r="C167" s="2" t="s">
        <v>11</v>
      </c>
      <c r="D167" s="2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2">
        <v>335.04</v>
      </c>
    </row>
    <row r="168" spans="1:9" ht="15" thickBot="1" x14ac:dyDescent="0.35">
      <c r="A168" s="2" t="s">
        <v>70</v>
      </c>
      <c r="B168" s="2" t="s">
        <v>29</v>
      </c>
      <c r="C168" s="2" t="s">
        <v>34</v>
      </c>
      <c r="D168" s="2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2">
        <v>333.85</v>
      </c>
    </row>
    <row r="169" spans="1:9" ht="15" thickBot="1" x14ac:dyDescent="0.35">
      <c r="A169" s="2" t="s">
        <v>72</v>
      </c>
      <c r="B169" s="2" t="s">
        <v>10</v>
      </c>
      <c r="C169" s="2" t="s">
        <v>18</v>
      </c>
      <c r="D169" s="2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2">
        <v>531.05999999999995</v>
      </c>
    </row>
    <row r="170" spans="1:9" ht="15" thickBot="1" x14ac:dyDescent="0.35">
      <c r="A170" s="2" t="s">
        <v>72</v>
      </c>
      <c r="B170" s="2" t="s">
        <v>31</v>
      </c>
      <c r="C170" s="2" t="s">
        <v>20</v>
      </c>
      <c r="D170" s="2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2">
        <v>232.19</v>
      </c>
    </row>
    <row r="171" spans="1:9" ht="15" thickBot="1" x14ac:dyDescent="0.35">
      <c r="A171" s="2" t="s">
        <v>52</v>
      </c>
      <c r="B171" s="2" t="s">
        <v>23</v>
      </c>
      <c r="C171" s="2" t="s">
        <v>11</v>
      </c>
      <c r="D171" s="2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2">
        <v>223.04</v>
      </c>
    </row>
    <row r="172" spans="1:9" ht="15" thickBot="1" x14ac:dyDescent="0.35">
      <c r="A172" s="2" t="s">
        <v>13</v>
      </c>
      <c r="B172" s="2" t="s">
        <v>45</v>
      </c>
      <c r="C172" s="2" t="s">
        <v>24</v>
      </c>
      <c r="D172" s="2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2">
        <v>422.92</v>
      </c>
    </row>
    <row r="173" spans="1:9" ht="15" thickBot="1" x14ac:dyDescent="0.35">
      <c r="A173" s="2" t="s">
        <v>30</v>
      </c>
      <c r="B173" s="2" t="s">
        <v>55</v>
      </c>
      <c r="C173" s="2" t="s">
        <v>11</v>
      </c>
      <c r="D173" s="2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2">
        <v>257.45</v>
      </c>
    </row>
    <row r="174" spans="1:9" ht="15" thickBot="1" x14ac:dyDescent="0.35">
      <c r="A174" s="2" t="s">
        <v>32</v>
      </c>
      <c r="B174" s="2" t="s">
        <v>31</v>
      </c>
      <c r="C174" s="2" t="s">
        <v>24</v>
      </c>
      <c r="D174" s="2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2">
        <v>380.75</v>
      </c>
    </row>
    <row r="175" spans="1:9" ht="15" thickBot="1" x14ac:dyDescent="0.35">
      <c r="A175" s="2" t="s">
        <v>67</v>
      </c>
      <c r="B175" s="2" t="s">
        <v>43</v>
      </c>
      <c r="C175" s="2" t="s">
        <v>20</v>
      </c>
      <c r="D175" s="2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2">
        <v>225.37</v>
      </c>
    </row>
    <row r="176" spans="1:9" ht="15" thickBot="1" x14ac:dyDescent="0.35">
      <c r="A176" s="2" t="s">
        <v>65</v>
      </c>
      <c r="B176" s="2" t="s">
        <v>47</v>
      </c>
      <c r="C176" s="2" t="s">
        <v>34</v>
      </c>
      <c r="D176" s="2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2">
        <v>582.55999999999995</v>
      </c>
    </row>
    <row r="177" spans="1:9" ht="15" thickBot="1" x14ac:dyDescent="0.35">
      <c r="A177" s="2" t="s">
        <v>73</v>
      </c>
      <c r="B177" s="2" t="s">
        <v>53</v>
      </c>
      <c r="C177" s="2" t="s">
        <v>34</v>
      </c>
      <c r="D177" s="2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2">
        <v>344.91</v>
      </c>
    </row>
    <row r="178" spans="1:9" ht="15" thickBot="1" x14ac:dyDescent="0.35">
      <c r="A178" s="2" t="s">
        <v>75</v>
      </c>
      <c r="B178" s="2" t="s">
        <v>31</v>
      </c>
      <c r="C178" s="2" t="s">
        <v>34</v>
      </c>
      <c r="D178" s="2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2">
        <v>330.79</v>
      </c>
    </row>
    <row r="179" spans="1:9" ht="15" thickBot="1" x14ac:dyDescent="0.35">
      <c r="A179" s="2" t="s">
        <v>16</v>
      </c>
      <c r="B179" s="2" t="s">
        <v>31</v>
      </c>
      <c r="C179" s="2" t="s">
        <v>34</v>
      </c>
      <c r="D179" s="2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2">
        <v>460</v>
      </c>
    </row>
    <row r="180" spans="1:9" ht="15" thickBot="1" x14ac:dyDescent="0.35">
      <c r="A180" s="2" t="s">
        <v>72</v>
      </c>
      <c r="B180" s="2" t="s">
        <v>29</v>
      </c>
      <c r="C180" s="2" t="s">
        <v>18</v>
      </c>
      <c r="D180" s="2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2">
        <v>439.88</v>
      </c>
    </row>
    <row r="181" spans="1:9" ht="15" thickBot="1" x14ac:dyDescent="0.35">
      <c r="A181" s="2" t="s">
        <v>52</v>
      </c>
      <c r="B181" s="2" t="s">
        <v>64</v>
      </c>
      <c r="C181" s="2" t="s">
        <v>24</v>
      </c>
      <c r="D181" s="2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2">
        <v>255.79</v>
      </c>
    </row>
    <row r="182" spans="1:9" ht="15" thickBot="1" x14ac:dyDescent="0.35">
      <c r="A182" s="2" t="s">
        <v>52</v>
      </c>
      <c r="B182" s="2" t="s">
        <v>59</v>
      </c>
      <c r="C182" s="2" t="s">
        <v>24</v>
      </c>
      <c r="D182" s="2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2">
        <v>159.74</v>
      </c>
    </row>
    <row r="183" spans="1:9" ht="15" thickBot="1" x14ac:dyDescent="0.35">
      <c r="A183" s="2" t="s">
        <v>37</v>
      </c>
      <c r="B183" s="2" t="s">
        <v>38</v>
      </c>
      <c r="C183" s="2" t="s">
        <v>20</v>
      </c>
      <c r="D183" s="2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2">
        <v>404.39</v>
      </c>
    </row>
    <row r="184" spans="1:9" ht="15" thickBot="1" x14ac:dyDescent="0.35">
      <c r="A184" s="2" t="s">
        <v>67</v>
      </c>
      <c r="B184" s="2" t="s">
        <v>38</v>
      </c>
      <c r="C184" s="2" t="s">
        <v>18</v>
      </c>
      <c r="D184" s="2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2">
        <v>187.57</v>
      </c>
    </row>
    <row r="185" spans="1:9" ht="15" thickBot="1" x14ac:dyDescent="0.35">
      <c r="A185" s="2" t="s">
        <v>41</v>
      </c>
      <c r="B185" s="2" t="s">
        <v>55</v>
      </c>
      <c r="C185" s="2" t="s">
        <v>11</v>
      </c>
      <c r="D185" s="2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2">
        <v>410.87</v>
      </c>
    </row>
    <row r="186" spans="1:9" ht="15" thickBot="1" x14ac:dyDescent="0.35">
      <c r="A186" s="2" t="s">
        <v>57</v>
      </c>
      <c r="B186" s="2" t="s">
        <v>55</v>
      </c>
      <c r="C186" s="2" t="s">
        <v>11</v>
      </c>
      <c r="D186" s="2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2">
        <v>275.77999999999997</v>
      </c>
    </row>
    <row r="187" spans="1:9" ht="15" thickBot="1" x14ac:dyDescent="0.35">
      <c r="A187" s="2" t="s">
        <v>25</v>
      </c>
      <c r="B187" s="2" t="s">
        <v>55</v>
      </c>
      <c r="C187" s="2" t="s">
        <v>11</v>
      </c>
      <c r="D187" s="2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2">
        <v>746.74</v>
      </c>
    </row>
    <row r="188" spans="1:9" ht="15" thickBot="1" x14ac:dyDescent="0.35">
      <c r="A188" s="2" t="s">
        <v>32</v>
      </c>
      <c r="B188" s="2" t="s">
        <v>53</v>
      </c>
      <c r="C188" s="2" t="s">
        <v>20</v>
      </c>
      <c r="D188" s="2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2">
        <v>310.24</v>
      </c>
    </row>
    <row r="189" spans="1:9" ht="15" thickBot="1" x14ac:dyDescent="0.35">
      <c r="A189" s="2" t="s">
        <v>40</v>
      </c>
      <c r="B189" s="2" t="s">
        <v>59</v>
      </c>
      <c r="C189" s="2" t="s">
        <v>20</v>
      </c>
      <c r="D189" s="2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2">
        <v>341.12</v>
      </c>
    </row>
    <row r="190" spans="1:9" ht="15" customHeight="1" thickBot="1" x14ac:dyDescent="0.35">
      <c r="A190" s="2" t="s">
        <v>41</v>
      </c>
      <c r="B190" s="2" t="s">
        <v>26</v>
      </c>
      <c r="C190" s="2" t="s">
        <v>24</v>
      </c>
      <c r="D190" s="2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2">
        <v>91.71</v>
      </c>
    </row>
    <row r="191" spans="1:9" ht="15.6" customHeight="1" thickBot="1" x14ac:dyDescent="0.35">
      <c r="A191" s="2" t="s">
        <v>32</v>
      </c>
      <c r="B191" s="2" t="s">
        <v>26</v>
      </c>
      <c r="C191" s="2" t="s">
        <v>20</v>
      </c>
      <c r="D191" s="2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2">
        <v>331.59</v>
      </c>
    </row>
    <row r="192" spans="1:9" ht="15" thickBot="1" x14ac:dyDescent="0.35">
      <c r="A192" s="2" t="s">
        <v>25</v>
      </c>
      <c r="B192" s="2" t="s">
        <v>10</v>
      </c>
      <c r="C192" s="2" t="s">
        <v>20</v>
      </c>
      <c r="D192" s="2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2">
        <v>381.07</v>
      </c>
    </row>
    <row r="193" spans="1:9" ht="15" thickBot="1" x14ac:dyDescent="0.35">
      <c r="A193" s="2" t="s">
        <v>22</v>
      </c>
      <c r="B193" s="2" t="s">
        <v>53</v>
      </c>
      <c r="C193" s="2" t="s">
        <v>24</v>
      </c>
      <c r="D193" s="2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2">
        <v>255.24</v>
      </c>
    </row>
    <row r="194" spans="1:9" ht="15" thickBot="1" x14ac:dyDescent="0.35">
      <c r="A194" s="2" t="s">
        <v>75</v>
      </c>
      <c r="B194" s="2" t="s">
        <v>71</v>
      </c>
      <c r="C194" s="2" t="s">
        <v>34</v>
      </c>
      <c r="D194" s="2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2">
        <v>692.05</v>
      </c>
    </row>
    <row r="195" spans="1:9" ht="15" thickBot="1" x14ac:dyDescent="0.35">
      <c r="A195" s="2" t="s">
        <v>44</v>
      </c>
      <c r="B195" s="2" t="s">
        <v>61</v>
      </c>
      <c r="C195" s="2" t="s">
        <v>18</v>
      </c>
      <c r="D195" s="2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2">
        <v>344.41</v>
      </c>
    </row>
    <row r="196" spans="1:9" ht="15" thickBot="1" x14ac:dyDescent="0.35">
      <c r="A196" s="2" t="s">
        <v>37</v>
      </c>
      <c r="B196" s="2" t="s">
        <v>43</v>
      </c>
      <c r="C196" s="2" t="s">
        <v>11</v>
      </c>
      <c r="D196" s="2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2">
        <v>397.06</v>
      </c>
    </row>
    <row r="197" spans="1:9" ht="15" thickBot="1" x14ac:dyDescent="0.35">
      <c r="A197" s="2" t="s">
        <v>70</v>
      </c>
      <c r="B197" s="2" t="s">
        <v>36</v>
      </c>
      <c r="C197" s="2" t="s">
        <v>34</v>
      </c>
      <c r="D197" s="2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2">
        <v>586.14</v>
      </c>
    </row>
    <row r="198" spans="1:9" ht="15" thickBot="1" x14ac:dyDescent="0.35">
      <c r="A198" s="2" t="s">
        <v>52</v>
      </c>
      <c r="B198" s="2" t="s">
        <v>14</v>
      </c>
      <c r="C198" s="2" t="s">
        <v>20</v>
      </c>
      <c r="D198" s="2" t="s">
        <v>39</v>
      </c>
      <c r="E198" s="2">
        <v>740.8</v>
      </c>
      <c r="F198" s="2">
        <v>3</v>
      </c>
      <c r="G198" s="2">
        <v>0</v>
      </c>
      <c r="H198" s="3">
        <v>45749</v>
      </c>
      <c r="I198" s="2">
        <v>333.36</v>
      </c>
    </row>
    <row r="199" spans="1:9" ht="15" thickBot="1" x14ac:dyDescent="0.35">
      <c r="A199" s="2" t="s">
        <v>58</v>
      </c>
      <c r="B199" s="2" t="s">
        <v>43</v>
      </c>
      <c r="C199" s="2" t="s">
        <v>11</v>
      </c>
      <c r="D199" s="2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2">
        <v>245.45</v>
      </c>
    </row>
    <row r="200" spans="1:9" ht="15" thickBot="1" x14ac:dyDescent="0.35">
      <c r="A200" s="2" t="s">
        <v>35</v>
      </c>
      <c r="B200" s="2" t="s">
        <v>36</v>
      </c>
      <c r="C200" s="2" t="s">
        <v>18</v>
      </c>
      <c r="D200" s="2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2">
        <v>379.09</v>
      </c>
    </row>
    <row r="201" spans="1:9" ht="15" thickBot="1" x14ac:dyDescent="0.35">
      <c r="A201" s="2" t="s">
        <v>60</v>
      </c>
      <c r="B201" s="2" t="s">
        <v>36</v>
      </c>
      <c r="C201" s="2" t="s">
        <v>20</v>
      </c>
      <c r="D201" s="2" t="s">
        <v>15</v>
      </c>
      <c r="E201" s="2">
        <v>928.32</v>
      </c>
      <c r="F201" s="2">
        <v>2</v>
      </c>
      <c r="G201" s="2">
        <v>0.05</v>
      </c>
      <c r="H201" s="3">
        <v>45754</v>
      </c>
      <c r="I201" s="2">
        <v>440.95</v>
      </c>
    </row>
    <row r="210" spans="5:5" ht="144" x14ac:dyDescent="0.3">
      <c r="E210" s="74" t="s">
        <v>161</v>
      </c>
    </row>
  </sheetData>
  <conditionalFormatting sqref="E2:E201">
    <cfRule type="top10" dxfId="1" priority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AADF-2657-4250-834F-C491E9A55F3C}">
  <dimension ref="A1:H26"/>
  <sheetViews>
    <sheetView topLeftCell="A14" workbookViewId="0">
      <selection activeCell="K22" sqref="K22"/>
    </sheetView>
  </sheetViews>
  <sheetFormatPr defaultRowHeight="14.4" x14ac:dyDescent="0.3"/>
  <cols>
    <col min="1" max="1" width="45.109375" customWidth="1"/>
    <col min="2" max="2" width="12.21875" customWidth="1"/>
  </cols>
  <sheetData>
    <row r="1" spans="1:8" ht="23.4" x14ac:dyDescent="0.45">
      <c r="A1" s="97" t="s">
        <v>142</v>
      </c>
      <c r="B1" s="97"/>
    </row>
    <row r="2" spans="1:8" ht="15.6" x14ac:dyDescent="0.3">
      <c r="A2" s="98" t="s">
        <v>130</v>
      </c>
      <c r="B2" s="98">
        <v>195217.76</v>
      </c>
      <c r="D2" s="99" t="s">
        <v>169</v>
      </c>
      <c r="E2" s="100"/>
      <c r="F2" s="100"/>
      <c r="G2" s="100"/>
      <c r="H2" s="100"/>
    </row>
    <row r="7" spans="1:8" ht="15" customHeight="1" x14ac:dyDescent="0.45">
      <c r="F7" s="69"/>
    </row>
    <row r="10" spans="1:8" ht="15" x14ac:dyDescent="0.3">
      <c r="H10" s="70"/>
    </row>
    <row r="11" spans="1:8" ht="15" x14ac:dyDescent="0.3">
      <c r="H11" s="71" t="s">
        <v>143</v>
      </c>
    </row>
    <row r="12" spans="1:8" ht="15" x14ac:dyDescent="0.3">
      <c r="H12" s="70"/>
    </row>
    <row r="20" spans="1:2" ht="15.6" x14ac:dyDescent="0.3">
      <c r="A20" s="73" t="s">
        <v>2</v>
      </c>
      <c r="B20" s="73" t="s">
        <v>130</v>
      </c>
    </row>
    <row r="21" spans="1:2" x14ac:dyDescent="0.3">
      <c r="A21" s="72" t="s">
        <v>34</v>
      </c>
      <c r="B21" s="72">
        <v>43468.33</v>
      </c>
    </row>
    <row r="22" spans="1:2" x14ac:dyDescent="0.3">
      <c r="A22" s="72" t="s">
        <v>18</v>
      </c>
      <c r="B22" s="72">
        <v>32441.64</v>
      </c>
    </row>
    <row r="23" spans="1:2" x14ac:dyDescent="0.3">
      <c r="A23" s="72" t="s">
        <v>24</v>
      </c>
      <c r="B23" s="72">
        <v>34975.42</v>
      </c>
    </row>
    <row r="24" spans="1:2" x14ac:dyDescent="0.3">
      <c r="A24" s="72" t="s">
        <v>20</v>
      </c>
      <c r="B24" s="72">
        <v>40248.79</v>
      </c>
    </row>
    <row r="25" spans="1:2" x14ac:dyDescent="0.3">
      <c r="A25" s="72" t="s">
        <v>11</v>
      </c>
      <c r="B25" s="72">
        <v>44083.58</v>
      </c>
    </row>
    <row r="26" spans="1:2" x14ac:dyDescent="0.3">
      <c r="A26" s="72" t="s">
        <v>140</v>
      </c>
      <c r="B26" s="72">
        <v>195217.76</v>
      </c>
    </row>
  </sheetData>
  <mergeCells count="2">
    <mergeCell ref="A1:B1"/>
    <mergeCell ref="D2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42F0-1029-4930-A679-0607900B7220}">
  <dimension ref="A1:D32"/>
  <sheetViews>
    <sheetView topLeftCell="A16" workbookViewId="0">
      <selection activeCell="A33" sqref="A33"/>
    </sheetView>
  </sheetViews>
  <sheetFormatPr defaultRowHeight="14.4" x14ac:dyDescent="0.3"/>
  <cols>
    <col min="1" max="1" width="76.77734375" customWidth="1"/>
    <col min="3" max="3" width="20.88671875" customWidth="1"/>
  </cols>
  <sheetData>
    <row r="1" spans="1:4" ht="24.6" thickTop="1" thickBot="1" x14ac:dyDescent="0.5">
      <c r="A1" s="78" t="s">
        <v>144</v>
      </c>
      <c r="C1" s="81" t="s">
        <v>145</v>
      </c>
      <c r="D1" s="81" t="s">
        <v>146</v>
      </c>
    </row>
    <row r="2" spans="1:4" ht="15.6" customHeight="1" thickTop="1" thickBot="1" x14ac:dyDescent="0.5">
      <c r="A2" s="79"/>
      <c r="C2" s="82" t="s">
        <v>130</v>
      </c>
      <c r="D2" s="82">
        <v>195217.76</v>
      </c>
    </row>
    <row r="3" spans="1:4" ht="15" thickBot="1" x14ac:dyDescent="0.35">
      <c r="C3" s="82" t="s">
        <v>147</v>
      </c>
      <c r="D3" s="82" t="s">
        <v>11</v>
      </c>
    </row>
    <row r="4" spans="1:4" ht="19.2" thickTop="1" thickBot="1" x14ac:dyDescent="0.35">
      <c r="A4" s="80" t="s">
        <v>151</v>
      </c>
      <c r="C4" s="82" t="s">
        <v>148</v>
      </c>
      <c r="D4" s="82">
        <v>44083.58</v>
      </c>
    </row>
    <row r="5" spans="1:4" ht="15.6" thickTop="1" thickBot="1" x14ac:dyDescent="0.35">
      <c r="A5" s="75"/>
      <c r="C5" s="82" t="s">
        <v>149</v>
      </c>
      <c r="D5" s="82" t="s">
        <v>18</v>
      </c>
    </row>
    <row r="6" spans="1:4" ht="15" thickBot="1" x14ac:dyDescent="0.35">
      <c r="A6" s="76" t="s">
        <v>152</v>
      </c>
      <c r="C6" s="82" t="s">
        <v>150</v>
      </c>
      <c r="D6" s="82">
        <v>32441</v>
      </c>
    </row>
    <row r="7" spans="1:4" x14ac:dyDescent="0.3">
      <c r="A7" s="75"/>
    </row>
    <row r="8" spans="1:4" x14ac:dyDescent="0.3">
      <c r="A8" s="76" t="s">
        <v>153</v>
      </c>
    </row>
    <row r="9" spans="1:4" x14ac:dyDescent="0.3">
      <c r="A9" s="75"/>
    </row>
    <row r="10" spans="1:4" x14ac:dyDescent="0.3">
      <c r="A10" s="76" t="s">
        <v>154</v>
      </c>
    </row>
    <row r="11" spans="1:4" x14ac:dyDescent="0.3">
      <c r="A11" s="75"/>
    </row>
    <row r="12" spans="1:4" ht="28.8" x14ac:dyDescent="0.3">
      <c r="A12" s="77" t="s">
        <v>155</v>
      </c>
    </row>
    <row r="13" spans="1:4" x14ac:dyDescent="0.3">
      <c r="A13" s="75"/>
    </row>
    <row r="14" spans="1:4" ht="28.8" x14ac:dyDescent="0.3">
      <c r="A14" s="77" t="s">
        <v>156</v>
      </c>
    </row>
    <row r="15" spans="1:4" x14ac:dyDescent="0.3">
      <c r="A15" s="86"/>
    </row>
    <row r="16" spans="1:4" ht="28.8" x14ac:dyDescent="0.3">
      <c r="A16" s="84" t="s">
        <v>157</v>
      </c>
    </row>
    <row r="17" spans="1:1" x14ac:dyDescent="0.3">
      <c r="A17" s="83"/>
    </row>
    <row r="18" spans="1:1" x14ac:dyDescent="0.3">
      <c r="A18" s="84" t="s">
        <v>170</v>
      </c>
    </row>
    <row r="19" spans="1:1" x14ac:dyDescent="0.3">
      <c r="A19" s="83"/>
    </row>
    <row r="20" spans="1:1" ht="28.8" x14ac:dyDescent="0.3">
      <c r="A20" s="84" t="s">
        <v>158</v>
      </c>
    </row>
    <row r="21" spans="1:1" x14ac:dyDescent="0.3">
      <c r="A21" s="83"/>
    </row>
    <row r="22" spans="1:1" ht="28.8" x14ac:dyDescent="0.3">
      <c r="A22" s="84" t="s">
        <v>159</v>
      </c>
    </row>
    <row r="23" spans="1:1" x14ac:dyDescent="0.3">
      <c r="A23" s="83"/>
    </row>
    <row r="24" spans="1:1" ht="29.4" thickBot="1" x14ac:dyDescent="0.35">
      <c r="A24" s="85" t="s">
        <v>160</v>
      </c>
    </row>
    <row r="25" spans="1:1" ht="15" thickTop="1" x14ac:dyDescent="0.3"/>
    <row r="28" spans="1:1" x14ac:dyDescent="0.3">
      <c r="A28" s="4"/>
    </row>
    <row r="32" spans="1:1" x14ac:dyDescent="0.3">
      <c r="A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Analysis</vt:lpstr>
      <vt:lpstr>Pivot</vt:lpstr>
      <vt:lpstr>Sales_Data</vt:lpstr>
      <vt:lpstr>Dashboard</vt:lpstr>
      <vt:lpstr>Data Storytelling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Bhavsar Krunal</dc:creator>
  <cp:lastModifiedBy>Bhavsar Krunal</cp:lastModifiedBy>
  <dcterms:created xsi:type="dcterms:W3CDTF">2026-10-21T15:08:40Z</dcterms:created>
  <dcterms:modified xsi:type="dcterms:W3CDTF">2026-10-27T03:48:51Z</dcterms:modified>
</cp:coreProperties>
</file>